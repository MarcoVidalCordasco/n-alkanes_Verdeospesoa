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mav54_cam_ac_uk/Documents/Desktop/ALKANES/R/GITHUB/"/>
    </mc:Choice>
  </mc:AlternateContent>
  <xr:revisionPtr revIDLastSave="944" documentId="13_ncr:1_{EEF015E9-E997-4E24-9FA9-CD91D364B211}" xr6:coauthVersionLast="47" xr6:coauthVersionMax="47" xr10:uidLastSave="{E1C77F85-1BBD-47BA-A763-B741D998D770}"/>
  <bookViews>
    <workbookView xWindow="-108" yWindow="-108" windowWidth="23256" windowHeight="13896" xr2:uid="{00000000-000D-0000-FFFF-FFFF00000000}"/>
  </bookViews>
  <sheets>
    <sheet name="sedaDNA" sheetId="23" r:id="rId1"/>
    <sheet name="n_alkanes" sheetId="1" r:id="rId2"/>
    <sheet name="R" sheetId="8" r:id="rId3"/>
    <sheet name="Present_day" sheetId="21" r:id="rId4"/>
    <sheet name="Regional_Paleoclimate" sheetId="20" r:id="rId5"/>
    <sheet name="NGRIP" sheetId="9" r:id="rId6"/>
    <sheet name="Raw_pollen_data" sheetId="24" r:id="rId7"/>
    <sheet name="Climate_c" sheetId="25" r:id="rId8"/>
  </sheets>
  <definedNames>
    <definedName name="_xlnm._FilterDatabase" localSheetId="1" hidden="1">n_alkanes!$A$1:$Q$28</definedName>
    <definedName name="_xlnm._FilterDatabase" localSheetId="0" hidden="1">sedaDNA!$A$1:$EU$1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2" i="23" l="1"/>
  <c r="EO2" i="23"/>
  <c r="CS3" i="23"/>
  <c r="EO3" i="23"/>
  <c r="CS4" i="23"/>
  <c r="EO4" i="23"/>
  <c r="CS5" i="23"/>
  <c r="EO5" i="23"/>
  <c r="CS6" i="23"/>
  <c r="EO6" i="23"/>
  <c r="CS7" i="23"/>
  <c r="EO7" i="23"/>
  <c r="CS8" i="23"/>
  <c r="EO8" i="23"/>
  <c r="CS9" i="23"/>
  <c r="EO9" i="23"/>
  <c r="CS10" i="23"/>
  <c r="EO10" i="23"/>
  <c r="CS11" i="23"/>
  <c r="EO11" i="23"/>
  <c r="CS12" i="23"/>
  <c r="EO12" i="23"/>
  <c r="CS13" i="23"/>
  <c r="EO13" i="23"/>
  <c r="CS14" i="23"/>
  <c r="EO14" i="23"/>
  <c r="CS15" i="23"/>
  <c r="EO15" i="23"/>
  <c r="CS16" i="23"/>
  <c r="EO16" i="23"/>
  <c r="CS17" i="23"/>
  <c r="EO17" i="23"/>
  <c r="CS18" i="23"/>
  <c r="EO18" i="23"/>
  <c r="CS19" i="23"/>
  <c r="EO19" i="23"/>
  <c r="CS20" i="23"/>
  <c r="EO20" i="23"/>
  <c r="CS21" i="23"/>
  <c r="EO21" i="23"/>
  <c r="CS22" i="23"/>
  <c r="EO22" i="23"/>
  <c r="CS23" i="23"/>
  <c r="EO23" i="23"/>
  <c r="CS24" i="23"/>
  <c r="EO24" i="23"/>
  <c r="CS25" i="23"/>
  <c r="EO25" i="23"/>
  <c r="CS26" i="23"/>
  <c r="EO26" i="23"/>
  <c r="CS27" i="23"/>
  <c r="EO27" i="23"/>
  <c r="CS28" i="23"/>
  <c r="EO28" i="23"/>
  <c r="CS29" i="23"/>
  <c r="EO29" i="23"/>
  <c r="CS30" i="23"/>
  <c r="EO30" i="23"/>
  <c r="CS31" i="23"/>
  <c r="EO31" i="23"/>
  <c r="CS32" i="23"/>
  <c r="CS33" i="23"/>
  <c r="EO33" i="23"/>
  <c r="CS34" i="23"/>
  <c r="EO34" i="23"/>
  <c r="CS35" i="23"/>
  <c r="EO35" i="23"/>
  <c r="M3" i="8"/>
  <c r="P2" i="1"/>
  <c r="O2" i="1"/>
  <c r="L2" i="1"/>
  <c r="M2" i="1"/>
  <c r="A6" i="8"/>
  <c r="C6" i="8"/>
  <c r="A4" i="8"/>
  <c r="C4" i="8"/>
  <c r="BY2" i="8"/>
  <c r="C3" i="8"/>
  <c r="C5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" i="8"/>
  <c r="A2" i="8"/>
  <c r="A3" i="8"/>
  <c r="A5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BY5" i="8"/>
  <c r="BY7" i="8"/>
  <c r="BY8" i="8"/>
  <c r="BY9" i="8"/>
  <c r="BY10" i="8"/>
  <c r="BY11" i="8"/>
  <c r="BY12" i="8"/>
  <c r="BY13" i="8"/>
  <c r="BY15" i="8"/>
  <c r="BY17" i="8"/>
  <c r="BY19" i="8"/>
  <c r="BY20" i="8"/>
  <c r="BY21" i="8"/>
  <c r="BY22" i="8"/>
  <c r="BY23" i="8"/>
  <c r="BY24" i="8"/>
  <c r="BY26" i="8"/>
  <c r="BY27" i="8"/>
  <c r="BY28" i="8"/>
  <c r="M2" i="8"/>
  <c r="M8" i="8"/>
  <c r="M5" i="8"/>
  <c r="M7" i="8"/>
  <c r="M9" i="8"/>
  <c r="M10" i="8"/>
  <c r="M11" i="8"/>
  <c r="M12" i="8"/>
  <c r="M13" i="8"/>
  <c r="M14" i="8"/>
  <c r="M15" i="8"/>
  <c r="M16" i="8"/>
  <c r="M17" i="8"/>
  <c r="M19" i="8"/>
  <c r="M20" i="8"/>
  <c r="M21" i="8"/>
  <c r="M22" i="8"/>
  <c r="M23" i="8"/>
  <c r="M24" i="8"/>
  <c r="M25" i="8"/>
  <c r="M26" i="8"/>
  <c r="M27" i="8"/>
  <c r="M28" i="8"/>
  <c r="J2" i="8"/>
  <c r="J3" i="8"/>
  <c r="J5" i="8"/>
  <c r="J7" i="8"/>
  <c r="J8" i="8"/>
  <c r="J9" i="8"/>
  <c r="J10" i="8"/>
  <c r="J11" i="8"/>
  <c r="J12" i="8"/>
  <c r="J13" i="8"/>
  <c r="J14" i="8"/>
  <c r="J15" i="8"/>
  <c r="J16" i="8"/>
  <c r="J17" i="8"/>
  <c r="J19" i="8"/>
  <c r="J20" i="8"/>
  <c r="J21" i="8"/>
  <c r="J22" i="8"/>
  <c r="J23" i="8"/>
  <c r="J24" i="8"/>
  <c r="J25" i="8"/>
  <c r="J26" i="8"/>
  <c r="J27" i="8"/>
  <c r="J28" i="8"/>
  <c r="Q7" i="1"/>
  <c r="Q2" i="1"/>
  <c r="N3" i="1"/>
  <c r="N5" i="1"/>
  <c r="N7" i="1"/>
  <c r="N8" i="1"/>
  <c r="N9" i="1"/>
  <c r="N10" i="1"/>
  <c r="N11" i="1"/>
  <c r="N12" i="1"/>
  <c r="N13" i="1"/>
  <c r="N14" i="1"/>
  <c r="N15" i="1"/>
  <c r="N16" i="1"/>
  <c r="N17" i="1"/>
  <c r="N19" i="1"/>
  <c r="N20" i="1"/>
  <c r="N21" i="1"/>
  <c r="N22" i="1"/>
  <c r="N23" i="1"/>
  <c r="N24" i="1"/>
  <c r="N25" i="1"/>
  <c r="N26" i="1"/>
  <c r="N27" i="1"/>
  <c r="N28" i="1"/>
  <c r="N2" i="1"/>
  <c r="P17" i="1"/>
  <c r="P3" i="1"/>
  <c r="P5" i="1"/>
  <c r="P7" i="1"/>
  <c r="P8" i="1"/>
  <c r="P9" i="1"/>
  <c r="P10" i="1"/>
  <c r="P11" i="1"/>
  <c r="P12" i="1"/>
  <c r="P13" i="1"/>
  <c r="P14" i="1"/>
  <c r="P15" i="1"/>
  <c r="P16" i="1"/>
  <c r="P19" i="1"/>
  <c r="P20" i="1"/>
  <c r="P21" i="1"/>
  <c r="P22" i="1"/>
  <c r="P23" i="1"/>
  <c r="P24" i="1"/>
  <c r="P25" i="1"/>
  <c r="P26" i="1"/>
  <c r="P27" i="1"/>
  <c r="P28" i="1"/>
  <c r="L27" i="1"/>
  <c r="O27" i="1"/>
  <c r="O3" i="1"/>
  <c r="Q3" i="1"/>
  <c r="Q5" i="1"/>
  <c r="Q8" i="1"/>
  <c r="Q9" i="1"/>
  <c r="Q10" i="1"/>
  <c r="Q11" i="1"/>
  <c r="Q12" i="1"/>
  <c r="Q13" i="1"/>
  <c r="Q14" i="1"/>
  <c r="Q15" i="1"/>
  <c r="Q16" i="1"/>
  <c r="Q17" i="1"/>
  <c r="Q19" i="1"/>
  <c r="Q20" i="1"/>
  <c r="Q21" i="1"/>
  <c r="Q22" i="1"/>
  <c r="Q23" i="1"/>
  <c r="Q24" i="1"/>
  <c r="Q25" i="1"/>
  <c r="Q26" i="1"/>
  <c r="Q27" i="1"/>
  <c r="Q28" i="1"/>
  <c r="O5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22" i="1"/>
  <c r="O23" i="1"/>
  <c r="O24" i="1"/>
  <c r="O25" i="1"/>
  <c r="O26" i="1"/>
  <c r="O28" i="1"/>
  <c r="M3" i="1"/>
  <c r="M5" i="1"/>
  <c r="M7" i="1"/>
  <c r="M8" i="1"/>
  <c r="M9" i="1"/>
  <c r="M10" i="1"/>
  <c r="M11" i="1"/>
  <c r="M12" i="1"/>
  <c r="M13" i="1"/>
  <c r="M14" i="1"/>
  <c r="M15" i="1"/>
  <c r="M16" i="1"/>
  <c r="M17" i="1"/>
  <c r="M19" i="1"/>
  <c r="M20" i="1"/>
  <c r="M21" i="1"/>
  <c r="M22" i="1"/>
  <c r="M23" i="1"/>
  <c r="M24" i="1"/>
  <c r="M25" i="1"/>
  <c r="M26" i="1"/>
  <c r="M27" i="1"/>
  <c r="M28" i="1"/>
  <c r="L3" i="1"/>
  <c r="L25" i="1"/>
  <c r="L14" i="1"/>
  <c r="L5" i="1"/>
  <c r="L7" i="1"/>
  <c r="L8" i="1"/>
  <c r="L9" i="1"/>
  <c r="L10" i="1"/>
  <c r="L11" i="1"/>
  <c r="L12" i="1"/>
  <c r="L13" i="1"/>
  <c r="L15" i="1"/>
  <c r="L16" i="1"/>
  <c r="L17" i="1"/>
  <c r="L19" i="1"/>
  <c r="L20" i="1"/>
  <c r="L21" i="1"/>
  <c r="L22" i="1"/>
  <c r="L23" i="1"/>
  <c r="L24" i="1"/>
  <c r="L26" i="1"/>
  <c r="L28" i="1"/>
  <c r="EO32" i="23" l="1"/>
</calcChain>
</file>

<file path=xl/sharedStrings.xml><?xml version="1.0" encoding="utf-8"?>
<sst xmlns="http://schemas.openxmlformats.org/spreadsheetml/2006/main" count="1664" uniqueCount="633">
  <si>
    <t>Core_section</t>
  </si>
  <si>
    <t>Sample</t>
  </si>
  <si>
    <t>Depth (cm)</t>
  </si>
  <si>
    <t>C14</t>
  </si>
  <si>
    <t>DNA.</t>
  </si>
  <si>
    <t>Biomarkers</t>
  </si>
  <si>
    <t>ID</t>
  </si>
  <si>
    <t>A_225_200</t>
  </si>
  <si>
    <t>VP.225</t>
  </si>
  <si>
    <t>X</t>
  </si>
  <si>
    <t>VP.224</t>
  </si>
  <si>
    <t xml:space="preserve"> </t>
  </si>
  <si>
    <t>V.P._223</t>
  </si>
  <si>
    <t>V.P._221</t>
  </si>
  <si>
    <t>V.P._219</t>
  </si>
  <si>
    <t>V.P._217</t>
  </si>
  <si>
    <t>V.P._215</t>
  </si>
  <si>
    <t>V.P._213</t>
  </si>
  <si>
    <t>V.P._211</t>
  </si>
  <si>
    <t>V.P._209</t>
  </si>
  <si>
    <t>V.P._207</t>
  </si>
  <si>
    <t>V.P._205</t>
  </si>
  <si>
    <t>V.P._203</t>
  </si>
  <si>
    <t>V.P._201</t>
  </si>
  <si>
    <t>B_220_150</t>
  </si>
  <si>
    <t>V.P._199</t>
  </si>
  <si>
    <t>V.P._197</t>
  </si>
  <si>
    <t>V.P._195</t>
  </si>
  <si>
    <t>V.P._193</t>
  </si>
  <si>
    <t>V.P._191</t>
  </si>
  <si>
    <t>V.P._189</t>
  </si>
  <si>
    <t>V.P._187</t>
  </si>
  <si>
    <t>V.P._185</t>
  </si>
  <si>
    <t>V.P._183</t>
  </si>
  <si>
    <t>V.P._181</t>
  </si>
  <si>
    <t>V.P._179</t>
  </si>
  <si>
    <t>V.P._177</t>
  </si>
  <si>
    <t>V.P._175</t>
  </si>
  <si>
    <t>BECS #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</si>
  <si>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</si>
  <si>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</si>
  <si>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</si>
  <si>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</si>
  <si>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</si>
  <si>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</si>
  <si>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</si>
  <si>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</si>
  <si>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</si>
  <si>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</si>
  <si>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</si>
  <si>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</si>
  <si>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</si>
  <si>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</si>
  <si>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</si>
  <si>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</si>
  <si>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</si>
  <si>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</si>
  <si>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</si>
  <si>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</si>
  <si>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</si>
  <si>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</si>
  <si>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CPI*1</t>
  </si>
  <si>
    <t>ACL</t>
  </si>
  <si>
    <t>PAQ*2</t>
  </si>
  <si>
    <t>c31/c29</t>
  </si>
  <si>
    <t>n/a</t>
  </si>
  <si>
    <t>dC20</t>
  </si>
  <si>
    <t>dC21</t>
  </si>
  <si>
    <t>dC22</t>
  </si>
  <si>
    <t>dC23</t>
  </si>
  <si>
    <t>dC24</t>
  </si>
  <si>
    <t>dC25</t>
  </si>
  <si>
    <t>dC26</t>
  </si>
  <si>
    <t>dC27</t>
  </si>
  <si>
    <t>dC28</t>
  </si>
  <si>
    <t>dC29</t>
  </si>
  <si>
    <t>dC30</t>
  </si>
  <si>
    <t>dC31</t>
  </si>
  <si>
    <t>dc29/31</t>
  </si>
  <si>
    <t>CalAge</t>
  </si>
  <si>
    <t>Agemin</t>
  </si>
  <si>
    <t>Agemanx</t>
  </si>
  <si>
    <t>CPI</t>
  </si>
  <si>
    <t>PAQ</t>
  </si>
  <si>
    <t>Depth</t>
  </si>
  <si>
    <t>PAQ1</t>
  </si>
  <si>
    <t>T</t>
  </si>
  <si>
    <t>ACL_19-33</t>
  </si>
  <si>
    <t>Age</t>
  </si>
  <si>
    <t>d18O</t>
  </si>
  <si>
    <t>ACL_c27-c31*2</t>
  </si>
  <si>
    <t>Juncaceae</t>
  </si>
  <si>
    <t>Juncus</t>
  </si>
  <si>
    <t>Juncus squarrosus</t>
  </si>
  <si>
    <t>Juncus effusus</t>
  </si>
  <si>
    <t>Cyperaceae</t>
  </si>
  <si>
    <t>Eriophorum</t>
  </si>
  <si>
    <t>Carex</t>
  </si>
  <si>
    <t>Eriophorum vaginatum</t>
  </si>
  <si>
    <t>Asteraceae</t>
  </si>
  <si>
    <t>Poaceae</t>
  </si>
  <si>
    <t>Rosaceae</t>
  </si>
  <si>
    <t>Fabaceae</t>
  </si>
  <si>
    <t>Apiaceae</t>
  </si>
  <si>
    <t>Campanulaceae</t>
  </si>
  <si>
    <t>Tephroseris</t>
  </si>
  <si>
    <t>Potentilla</t>
  </si>
  <si>
    <t>Potentilla erecta</t>
  </si>
  <si>
    <t>Trifolium</t>
  </si>
  <si>
    <t>Trifolium repens</t>
  </si>
  <si>
    <t>Caltha</t>
  </si>
  <si>
    <t>Caltha palustris</t>
  </si>
  <si>
    <t>Galium</t>
  </si>
  <si>
    <t>Ericaceae</t>
  </si>
  <si>
    <t>Betulaceae</t>
  </si>
  <si>
    <t>Taxaceae</t>
  </si>
  <si>
    <t>Pinaceae</t>
  </si>
  <si>
    <t>Sambucus</t>
  </si>
  <si>
    <t>Picea</t>
  </si>
  <si>
    <t>Betula</t>
  </si>
  <si>
    <t>Taxus</t>
  </si>
  <si>
    <t>dC19</t>
  </si>
  <si>
    <t>D21</t>
  </si>
  <si>
    <t>D21SD</t>
  </si>
  <si>
    <t>D22</t>
  </si>
  <si>
    <t>D22SD</t>
  </si>
  <si>
    <t>D23</t>
  </si>
  <si>
    <t>D23SD</t>
  </si>
  <si>
    <t>D24</t>
  </si>
  <si>
    <t>D24SD</t>
  </si>
  <si>
    <t>D25</t>
  </si>
  <si>
    <t>D25SD</t>
  </si>
  <si>
    <t>D26</t>
  </si>
  <si>
    <t>D26SD</t>
  </si>
  <si>
    <t>D27</t>
  </si>
  <si>
    <t>D27SD</t>
  </si>
  <si>
    <t>D28</t>
  </si>
  <si>
    <t>D28SD</t>
  </si>
  <si>
    <t>D29</t>
  </si>
  <si>
    <t>D29SD</t>
  </si>
  <si>
    <t>D30</t>
  </si>
  <si>
    <t>D30SD</t>
  </si>
  <si>
    <t>D31</t>
  </si>
  <si>
    <t>D31SD</t>
  </si>
  <si>
    <t>dC19SD</t>
  </si>
  <si>
    <t>dC20SD</t>
  </si>
  <si>
    <t>dC21SD</t>
  </si>
  <si>
    <t>dC22SD</t>
  </si>
  <si>
    <t>dC23SD</t>
  </si>
  <si>
    <t>dC24SD</t>
  </si>
  <si>
    <t>dC25SD</t>
  </si>
  <si>
    <t>dC26SD</t>
  </si>
  <si>
    <t>dC27SD</t>
  </si>
  <si>
    <t>dC28SD</t>
  </si>
  <si>
    <t>dC29SD</t>
  </si>
  <si>
    <t>dC30SD</t>
  </si>
  <si>
    <t>dC31SD</t>
  </si>
  <si>
    <t>c31/c27</t>
  </si>
  <si>
    <t>TAR</t>
  </si>
  <si>
    <t>d</t>
  </si>
  <si>
    <t>Depth_range</t>
  </si>
  <si>
    <t>Sed</t>
  </si>
  <si>
    <t>Age [ka BP]</t>
  </si>
  <si>
    <t>Age1</t>
  </si>
  <si>
    <t>ECC</t>
  </si>
  <si>
    <t>ECC (413k component notched out)</t>
  </si>
  <si>
    <t>OMEGA [deg]</t>
  </si>
  <si>
    <t>OBL [deg]</t>
  </si>
  <si>
    <t>Prec</t>
  </si>
  <si>
    <t>W</t>
  </si>
  <si>
    <t>EXI [W/m**2] (mid-month insolation 65N for ...)</t>
  </si>
  <si>
    <t>ETP</t>
  </si>
  <si>
    <t>AGE</t>
  </si>
  <si>
    <t>Age2</t>
  </si>
  <si>
    <t xml:space="preserve"> Neogloboquadrina pachyderma sin. (%) </t>
  </si>
  <si>
    <t xml:space="preserve"> "Northern guest" ostracod species (%) </t>
  </si>
  <si>
    <t xml:space="preserve"> δ¹⁸O (PDB) Lobatula lobatula </t>
  </si>
  <si>
    <t xml:space="preserve"> δ¹⁸O (PDB) Globigerina bulloides </t>
  </si>
  <si>
    <t>Age3</t>
  </si>
  <si>
    <t>d18OPindal</t>
  </si>
  <si>
    <t>d13CPindal</t>
  </si>
  <si>
    <t>dD_mid</t>
  </si>
  <si>
    <t>dC_long</t>
  </si>
  <si>
    <t>MAT</t>
  </si>
  <si>
    <t>Age4</t>
  </si>
  <si>
    <t>M</t>
  </si>
  <si>
    <t>December</t>
  </si>
  <si>
    <t>November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</si>
  <si>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</si>
  <si>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</si>
  <si>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</si>
  <si>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</si>
  <si>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</si>
  <si>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</si>
  <si>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</si>
  <si>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</si>
  <si>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</si>
  <si>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</si>
  <si>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P.Hm3</t>
  </si>
  <si>
    <t>Age5</t>
  </si>
  <si>
    <t>hydro_hygrophytic</t>
  </si>
  <si>
    <t>Age6</t>
  </si>
  <si>
    <t>d13C</t>
  </si>
  <si>
    <t>id</t>
  </si>
  <si>
    <t>pre_read</t>
  </si>
  <si>
    <t>pre_rep</t>
  </si>
  <si>
    <t>post_read</t>
  </si>
  <si>
    <t>post_rep</t>
  </si>
  <si>
    <t>read_ratio</t>
  </si>
  <si>
    <t>rep_ratio</t>
  </si>
  <si>
    <t>arctborbryo_iden</t>
  </si>
  <si>
    <t>arctborbryo_family</t>
  </si>
  <si>
    <t>arctborbryo_family_name</t>
  </si>
  <si>
    <t>arctborbryo_genus</t>
  </si>
  <si>
    <t>arctborbryo_genus_name</t>
  </si>
  <si>
    <t>arctborbryo_rank</t>
  </si>
  <si>
    <t>arctborbryo_scientific_name</t>
  </si>
  <si>
    <t>arctborbryo_taxid</t>
  </si>
  <si>
    <t>arctborbryo_species_list</t>
  </si>
  <si>
    <t>embl_iden</t>
  </si>
  <si>
    <t>embl_family</t>
  </si>
  <si>
    <t>embl_family_name</t>
  </si>
  <si>
    <t>embl_genus</t>
  </si>
  <si>
    <t>embl_genus_name</t>
  </si>
  <si>
    <t>embl_rank</t>
  </si>
  <si>
    <t>embl_scientific_name</t>
  </si>
  <si>
    <t>embl_taxid</t>
  </si>
  <si>
    <t>embl_species_list</t>
  </si>
  <si>
    <t>phyloalps_iden</t>
  </si>
  <si>
    <t>phyloalps_family</t>
  </si>
  <si>
    <t>phyloalps_family_name</t>
  </si>
  <si>
    <t>phyloalps_genus</t>
  </si>
  <si>
    <t>phyloalps_genus_name</t>
  </si>
  <si>
    <t>phyloalps_rank</t>
  </si>
  <si>
    <t>phyloalps_scientific_name</t>
  </si>
  <si>
    <t>phyloalps_taxid</t>
  </si>
  <si>
    <t>phyloalps_species_list</t>
  </si>
  <si>
    <t>phylonorway_iden</t>
  </si>
  <si>
    <t>phylonorway_family</t>
  </si>
  <si>
    <t>phylonorway_family_name</t>
  </si>
  <si>
    <t>phylonorway_genus</t>
  </si>
  <si>
    <t>phylonorway_genus_name</t>
  </si>
  <si>
    <t>phylonorway_rank</t>
  </si>
  <si>
    <t>phylonorway_scientific_name</t>
  </si>
  <si>
    <t>phylonorway_taxid</t>
  </si>
  <si>
    <t>phylonorway_species_list</t>
  </si>
  <si>
    <t>sequence</t>
  </si>
  <si>
    <t>homopolymer</t>
  </si>
  <si>
    <t>homopolymer_type</t>
  </si>
  <si>
    <t>avgpread_sample.IA.45_SED13_240710_LD_14_rpt</t>
  </si>
  <si>
    <t>avgpread_sample.IA.45_SED15_240710_LD_15_rpt</t>
  </si>
  <si>
    <t>avgpread_sample.IA.45_SED18_240710_LD_16_rpt</t>
  </si>
  <si>
    <t>avgpread_sample.IA.45_SED21_240710_LD_17_rpt</t>
  </si>
  <si>
    <t>avgpread_sample.IA.45_SED25_240710_LD_18_rpt</t>
  </si>
  <si>
    <t>avgpread_sample.IA.45_SED3_240710_LD_11_rpt</t>
  </si>
  <si>
    <t>avgpread_sample.IA.45_SED39_240710_LD_19_rpt</t>
  </si>
  <si>
    <t>avgpread_sample.IA.45_SED53_240710_LD_20_rpt</t>
  </si>
  <si>
    <t>avgpread_sample.IA.45_SED6_240710_LD_12_rpt</t>
  </si>
  <si>
    <t>avgpread_sample.IA.45_SED9_240710_LD_13_rpt</t>
  </si>
  <si>
    <t>proprep_sample.IA.45_SED13_240710_LD_14_rpt</t>
  </si>
  <si>
    <t>proprep_sample.IA.45_SED15_240710_LD_15_rpt</t>
  </si>
  <si>
    <t>proprep_sample.IA.45_SED18_240710_LD_16_rpt</t>
  </si>
  <si>
    <t>proprep_sample.IA.45_SED21_240710_LD_17_rpt</t>
  </si>
  <si>
    <t>proprep_sample.IA.45_SED25_240710_LD_18_rpt</t>
  </si>
  <si>
    <t>proprep_sample.IA.45_SED3_240710_LD_11_rpt</t>
  </si>
  <si>
    <t>proprep_sample.IA.45_SED39_240710_LD_19_rpt</t>
  </si>
  <si>
    <t>proprep_sample.IA.45_SED53_240710_LD_20_rpt</t>
  </si>
  <si>
    <t>proprep_sample.IA.45_SED6_240710_LD_12_rpt</t>
  </si>
  <si>
    <t>proprep_sample.IA.45_SED9_240710_LD_13_rpt</t>
  </si>
  <si>
    <t>sdpread_sample.IA.45_SED13_240710_LD_14_rpt</t>
  </si>
  <si>
    <t>sdpread_sample.IA.45_SED15_240710_LD_15_rpt</t>
  </si>
  <si>
    <t>sdpread_sample.IA.45_SED18_240710_LD_16_rpt</t>
  </si>
  <si>
    <t>sdpread_sample.IA.45_SED21_240710_LD_17_rpt</t>
  </si>
  <si>
    <t>sdpread_sample.IA.45_SED25_240710_LD_18_rpt</t>
  </si>
  <si>
    <t>sdpread_sample.IA.45_SED3_240710_LD_11_rpt</t>
  </si>
  <si>
    <t>sdpread_sample.IA.45_SED39_240710_LD_19_rpt</t>
  </si>
  <si>
    <t>sdpread_sample.IA.45_SED53_240710_LD_20_rpt</t>
  </si>
  <si>
    <t>sdpread_sample.IA.45_SED6_240710_LD_12_rpt</t>
  </si>
  <si>
    <t>sdpread_sample.IA.45_SED9_240710_LD_13_rpt</t>
  </si>
  <si>
    <t>totread_sample.IA.45_SED13_240710_LD_14_rpt</t>
  </si>
  <si>
    <t>totread_sample.IA.45_SED15_240710_LD_15_rpt</t>
  </si>
  <si>
    <t>totread_sample.IA.45_SED18_240710_LD_16_rpt</t>
  </si>
  <si>
    <t>totread_sample.IA.45_SED21_240710_LD_17_rpt</t>
  </si>
  <si>
    <t>totread_sample.IA.45_SED25_240710_LD_18_rpt</t>
  </si>
  <si>
    <t>totread_sample.IA.45_SED3_240710_LD_11_rpt</t>
  </si>
  <si>
    <t>totread_sample.IA.45_SED39_240710_LD_19_rpt</t>
  </si>
  <si>
    <t>totread_sample.IA.45_SED53_240710_LD_20_rpt</t>
  </si>
  <si>
    <t>totread_sample.IA.45_SED6_240710_LD_12_rpt</t>
  </si>
  <si>
    <t>totread_sample.IA.45_SED9_240710_LD_13_rpt</t>
  </si>
  <si>
    <t>totrep_sample.IA.45_SED13_240710_LD_14_rpt</t>
  </si>
  <si>
    <t>totrep_sample.IA.45_SED15_240710_LD_15_rpt</t>
  </si>
  <si>
    <t>totrep_sample.IA.45_SED18_240710_LD_16_rpt</t>
  </si>
  <si>
    <t>totrep_sample.IA.45_SED21_240710_LD_17_rpt</t>
  </si>
  <si>
    <t>totrep_sample.IA.45_SED25_240710_LD_18_rpt</t>
  </si>
  <si>
    <t>totrep_sample.IA.45_SED3_240710_LD_11_rpt</t>
  </si>
  <si>
    <t>totrep_sample.IA.45_SED39_240710_LD_19_rpt</t>
  </si>
  <si>
    <t>totrep_sample.IA.45_SED53_240710_LD_20_rpt</t>
  </si>
  <si>
    <t>totrep_sample.IA.45_SED6_240710_LD_12_rpt</t>
  </si>
  <si>
    <t>totrep_sample.IA.45_SED9_240710_LD_13_rpt</t>
  </si>
  <si>
    <t>Sum_repeats</t>
  </si>
  <si>
    <t>weightrep_sample.IA.45_SED13_240710_LD_14_rpt</t>
  </si>
  <si>
    <t>weightrep_sample.IA.45_SED15_240710_LD_15_rpt</t>
  </si>
  <si>
    <t>weightrep_sample.IA.45_SED18_240710_LD_16_rpt</t>
  </si>
  <si>
    <t>weightrep_sample.IA.45_SED21_240710_LD_17_rpt</t>
  </si>
  <si>
    <t>weightrep_sample.IA.45_SED25_240710_LD_18_rpt</t>
  </si>
  <si>
    <t>weightrep_sample.IA.45_SED3_240710_LD_11_rpt</t>
  </si>
  <si>
    <t>weightrep_sample.IA.45_SED39_240710_LD_19_rpt</t>
  </si>
  <si>
    <t>weightrep_sample.IA.45_SED53_240710_LD_20_rpt</t>
  </si>
  <si>
    <t>weightrep_sample.IA.45_SED6_240710_LD_12_rpt</t>
  </si>
  <si>
    <t>weightrep_sample.IA.45_SED9_240710_LD_13_rpt</t>
  </si>
  <si>
    <t>totread_sample.TEG041.TestSamples_IA.41.45.46_P6_LD_C005_rpt</t>
  </si>
  <si>
    <t>avgpread_sample.TEG041.TestSamples_IA.41.45.46_P6_LD_C005_rpt</t>
  </si>
  <si>
    <t>sdpread_sample.TEG041.TestSamples_IA.41.45.46_P6_LD_C005_rpt</t>
  </si>
  <si>
    <t>totrep_sample.TEG041.TestSamples_IA.41.45.46_P6_LD_C005_rpt</t>
  </si>
  <si>
    <t>proprep_sample.TEG041.TestSamples_IA.41.45.46_P6_LD_C005_rpt</t>
  </si>
  <si>
    <t>weightrep_sample.TEG041.TestSamples_IA.41.45.46_P6_LD_C005_rpt</t>
  </si>
  <si>
    <t>totread_sample.TEG041.TestSamples_IA.41.45.46_P6_LD_C006_rpt</t>
  </si>
  <si>
    <t>avgpread_sample.TEG041.TestSamples_IA.41.45.46_P6_LD_C006_rpt</t>
  </si>
  <si>
    <t>sdpread_sample.TEG041.TestSamples_IA.41.45.46_P6_LD_C006_rpt</t>
  </si>
  <si>
    <t>totrep_sample.TEG041.TestSamples_IA.41.45.46_P6_LD_C006_rpt</t>
  </si>
  <si>
    <t>proprep_sample.TEG041.TestSamples_IA.41.45.46_P6_LD_C006_rpt</t>
  </si>
  <si>
    <t>weightrep_sample.TEG041.TestSamples_IA.41.45.46_P6_LD_C006_rpt</t>
  </si>
  <si>
    <t>totread_sample.TEG041.TestSamples_IA.41.45.46_P6_LD_C007_rpt</t>
  </si>
  <si>
    <t>avgpread_sample.TEG041.TestSamples_IA.41.45.46_P6_LD_C007_rpt</t>
  </si>
  <si>
    <t>sdpread_sample.TEG041.TestSamples_IA.41.45.46_P6_LD_C007_rpt</t>
  </si>
  <si>
    <t>totrep_sample.TEG041.TestSamples_IA.41.45.46_P6_LD_C007_rpt</t>
  </si>
  <si>
    <t>proprep_sample.TEG041.TestSamples_IA.41.45.46_P6_LD_C007_rpt</t>
  </si>
  <si>
    <t>weightrep_sample.TEG041.TestSamples_IA.41.45.46_P6_LD_C007_rpt</t>
  </si>
  <si>
    <t>totread_sample.IA.16.42.44_EC2_240701_LD_16_rpt</t>
  </si>
  <si>
    <t>avgpread_sample.IA.16.42.44_EC2_240701_LD_16_rpt</t>
  </si>
  <si>
    <t>sdpread_sample.IA.16.42.44_EC2_240701_LD_16_rpt</t>
  </si>
  <si>
    <t>totrep_sample.IA.16.42.44_EC2_240701_LD_16_rpt</t>
  </si>
  <si>
    <t>proprep_sample.IA.16.42.44_EC2_240701_LD_16_rpt</t>
  </si>
  <si>
    <t>weightrep_sample.IA.16.42.44_EC2_240701_LD_16_rpt</t>
  </si>
  <si>
    <t>totread_sample.IA.41_EC_240710_LD_10_rpt</t>
  </si>
  <si>
    <t>totread_sample.IA.45_EC1_240710_LD_22_rpt</t>
  </si>
  <si>
    <t>avgpread_sample.IA.45_EC1_240710_LD_22_rpt</t>
  </si>
  <si>
    <t>sdpread_sample.IA.45_EC1_240710_LD_22_rpt</t>
  </si>
  <si>
    <t>totrep_sample.IA.45_EC1_240710_LD_22_rpt</t>
  </si>
  <si>
    <t>proprep_sample.IA.45_EC1_240710_LD_22_rpt</t>
  </si>
  <si>
    <t>weightrep_sample.IA.45_EC1_240710_LD_22_rpt</t>
  </si>
  <si>
    <t>totread_sample.IA.45_sampling_NC1_240710_LD_21_rpt</t>
  </si>
  <si>
    <t>avgpread_sample.IA.45_sampling_NC1_240710_LD_21_rpt</t>
  </si>
  <si>
    <t>sdpread_sample.IA.45_sampling_NC1_240710_LD_21_rpt</t>
  </si>
  <si>
    <t>totrep_sample.IA.45_sampling_NC1_240710_LD_21_rpt</t>
  </si>
  <si>
    <t>proprep_sample.IA.45_sampling_NC1_240710_LD_21_rpt</t>
  </si>
  <si>
    <t>weightrep_sample.IA.45_sampling_NC1_240710_LD_21_rpt</t>
  </si>
  <si>
    <t>Tot_sample_negative</t>
  </si>
  <si>
    <t>totread_sample.TEG041.TestSamples_IA.41.45.46_P6_LD_C008_rpt</t>
  </si>
  <si>
    <t>avgpread_sample.TEG041.TestSamples_IA.41.45.46_P6_LD_C008_rpt</t>
  </si>
  <si>
    <t>sdpread_sample.TEG041.TestSamples_IA.41.45.46_P6_LD_C008_rpt</t>
  </si>
  <si>
    <t>totrep_sample.TEG041.TestSamples_IA.41.45.46_P6_LD_C008_rpt</t>
  </si>
  <si>
    <t>proprep_sample.TEG041.TestSamples_IA.41.45.46_P6_LD_C008_rpt</t>
  </si>
  <si>
    <t>weightrep_sample.TEG041.TestSamples_IA.41.45.46_P6_LD_C008_rpt</t>
  </si>
  <si>
    <t>TestSamples_IA-41-45-46_P6_LD_tag:20702</t>
  </si>
  <si>
    <t>genus</t>
  </si>
  <si>
    <t>['Juncus balticus', 'Juncus tenuis', 'Juncus effusus', 'Juncus gerardii', 'Juncus arcticus', 'Juncus conglomeratus', 'Juncus filiformis']</t>
  </si>
  <si>
    <t>species</t>
  </si>
  <si>
    <t>['Juncus squarrosus']</t>
  </si>
  <si>
    <t>['Juncus arcticus', 'Juncus effusus', 'Juncus balticus']</t>
  </si>
  <si>
    <t>atctttaattttgataaaatttgtttttatataaaaactcaaatcaaaaag</t>
  </si>
  <si>
    <t>t</t>
  </si>
  <si>
    <t>TestSamples_IA-41-45-46_P6_LD_tag:23072</t>
  </si>
  <si>
    <t>['Eriophorum callitrix', 'Eriophorum latifolium', 'Eriophorum brachyantherum', 'Eriophorum angustifolium', 'Eriophorum vaginatum']</t>
  </si>
  <si>
    <t>[]</t>
  </si>
  <si>
    <t>['Eriophorum vaginatum']</t>
  </si>
  <si>
    <t>NA</t>
  </si>
  <si>
    <t>tribe</t>
  </si>
  <si>
    <t>Scirpeae</t>
  </si>
  <si>
    <t>['Eriophorum triste', 'Eriophorum callitrix', 'Trichophorum cespitosum', 'Eriophorum angustifolium', 'Eriophorum vaginatum']</t>
  </si>
  <si>
    <t>atctttcattttgagaaaatgagagatataaaatatctcttatttattataagaaataaaatatttcttatctaatattaaa</t>
  </si>
  <si>
    <t>1.00874243443174e-05</t>
  </si>
  <si>
    <t>2.85315446342924e-05</t>
  </si>
  <si>
    <t>TestSamples_IA-41-45-46_P6_LD_tag:20853</t>
  </si>
  <si>
    <t>['Juncus conglomeratus', 'Juncus effusus']</t>
  </si>
  <si>
    <t>['Juncus effusus', 'Juncus acutiflorus']</t>
  </si>
  <si>
    <t>['Juncus effusus']</t>
  </si>
  <si>
    <t>atctttattttgataaaatttgtttttatagaaaaattcaaatcaaaaaa</t>
  </si>
  <si>
    <t>TestSamples_IA-41-45-46_P6_LD_tag:2069</t>
  </si>
  <si>
    <t>family</t>
  </si>
  <si>
    <t>atcacgttttccgaaaacaaacaaaggttcagaaagcgaaaataaaaaag</t>
  </si>
  <si>
    <t>a</t>
  </si>
  <si>
    <t>TestSamples_IA-41-45-46_P6_LD_tag:20703</t>
  </si>
  <si>
    <t>Molinia</t>
  </si>
  <si>
    <t>Molinia caerulea</t>
  </si>
  <si>
    <t>['Molinia caerulea']</t>
  </si>
  <si>
    <t>no rank</t>
  </si>
  <si>
    <t>PACMAD clade</t>
  </si>
  <si>
    <t>atcccttttttgaaaaaacaagtggttctcaaactagaacccaaaggaaaag</t>
  </si>
  <si>
    <t>TestSamples_IA-41-45-46_P6_LD_tag:23091</t>
  </si>
  <si>
    <t>['Carex bebbii', 'Carex echinata', 'Carex crawfordii', 'Carex sychnocephala', 'Carex interior', 'Carex leporina', 'Carex sterilis', 'Carex chordorrhiza', 'Carex foenea', 'Carex bohemica', 'Carex praticola', 'Carex pseudocuraica', 'Carex sartwellii']</t>
  </si>
  <si>
    <t>['Carex remota', 'Carex echinata', 'Carex divisa', 'Carex leporina', 'Carex chordorrhiza', 'Carex praecox', 'Carex disticha', 'Carex bohemica', 'Carex stenophylla']</t>
  </si>
  <si>
    <t>['Carex remota', 'Carex disperma', 'Carex leporina', 'Carex chordorrhiza', 'Carex disticha', 'Carex praticola']</t>
  </si>
  <si>
    <t>atcttctttttgagaaaaagaaatatataaaatatttcttatttcagataagaaagaataatatttcttatctaatattaaa</t>
  </si>
  <si>
    <t>3.71548316143031e-05</t>
  </si>
  <si>
    <t>TestSamples_IA-41-45-46_P6_LD_tag:23089</t>
  </si>
  <si>
    <t>['Potentilla erecta']</t>
  </si>
  <si>
    <t>['Potentilla indica', 'Potentilla erecta', 'Potentilla reptans']</t>
  </si>
  <si>
    <t>atcccgttttatgaaaacaaacaaaggtttcagaaaccgagaataaataaag</t>
  </si>
  <si>
    <t>TestSamples_IA-41-45-46_P6_LD_tag:17397</t>
  </si>
  <si>
    <t>['Trifolium repens']</t>
  </si>
  <si>
    <t>['Trifolium repens', 'Trifolium montanum', 'Trifolium nigrescens', 'Trifolium suffocatum']</t>
  </si>
  <si>
    <t>['Trifolium montanum', 'Trifolium repens']</t>
  </si>
  <si>
    <t>atccttctttccgaaaacaaaataaaagttcagaaagttaaaataaaaaagg</t>
  </si>
  <si>
    <t>TestSamples_IA-41-45-46_P6_LD_tag:2187</t>
  </si>
  <si>
    <t>atcttctttttgagaaaaagaaatatataaaatatttcttatttcagataagaaataatattttttcttatctaatattaaa</t>
  </si>
  <si>
    <t>TestSamples_IA-41-45-46_P6_LD_tag:23316</t>
  </si>
  <si>
    <t>Taxus baccata</t>
  </si>
  <si>
    <t>['Taxus baccata']</t>
  </si>
  <si>
    <t>Cupressaceae</t>
  </si>
  <si>
    <t>Juniperus</t>
  </si>
  <si>
    <t>varietas</t>
  </si>
  <si>
    <t>Juniperus communis var. saxatilis</t>
  </si>
  <si>
    <t>['Juniperus communis']</t>
  </si>
  <si>
    <t>atccgtattataggaacaataattttattttctagaaaagg</t>
  </si>
  <si>
    <t>TestSamples_IA-41-45-46_P6_LD_tag:2070</t>
  </si>
  <si>
    <t>['Betula pendula', 'Betula pubescens', 'Betula nana', 'Betula humilis']</t>
  </si>
  <si>
    <t>['Betula pubescens', 'Betula neoalaskana', 'Betula nana', 'Betula humilis']</t>
  </si>
  <si>
    <t>atcctgttttccgaaaacaaataaaacaaatttaagggttcataaagtgagaataaaaaag</t>
  </si>
  <si>
    <t>TestSamples_IA-41-45-46_P6_LD_tag:39961</t>
  </si>
  <si>
    <t>subfamily</t>
  </si>
  <si>
    <t>Ericoideae</t>
  </si>
  <si>
    <t>['Rhododendron groenlandicum', 'Calluna vulgaris', 'Empetrum subholarcticum', 'Rhododendron lapponicum', 'Rhododendron tomentosum', 'Rhododendron camtschaticum', 'Empetrum sibiricum', 'Empetrum nigrum']</t>
  </si>
  <si>
    <t>Erica</t>
  </si>
  <si>
    <t>Erica tetralix</t>
  </si>
  <si>
    <t>['Erica tetralix']</t>
  </si>
  <si>
    <t>Kalmia</t>
  </si>
  <si>
    <t>Kalmia polifolia</t>
  </si>
  <si>
    <t>['Kalmia polifolia']</t>
  </si>
  <si>
    <t>atcctttttttcgcaaacaaacaaagattccgaaagccaaaaaaag</t>
  </si>
  <si>
    <t>TestSamples_IA-41-45-46_P6_LD_tag:2146</t>
  </si>
  <si>
    <t>Crepis</t>
  </si>
  <si>
    <t>Crepis rhaetica</t>
  </si>
  <si>
    <t>['Crepis rhaetica']</t>
  </si>
  <si>
    <t>atcacgttttccgaaaacaaacaaagattcagaaagcgaaaataaaaaag</t>
  </si>
  <si>
    <t>TestSamples_IA-41-45-46_P6_LD_tag:5933</t>
  </si>
  <si>
    <t>Ranunculaceae</t>
  </si>
  <si>
    <t>['Caltha palustris', 'Caltha arctica']</t>
  </si>
  <si>
    <t>['Caltha palustris']</t>
  </si>
  <si>
    <t>atccggttttcagaaaacaaaaaaagggattcagaaagcaagaatcaaaaag</t>
  </si>
  <si>
    <t>1.00552367673084e-05</t>
  </si>
  <si>
    <t>2.84405044184003e-05</t>
  </si>
  <si>
    <t>TestSamples_IA-41-45-46_P6_LD_tag:2075</t>
  </si>
  <si>
    <t>subtribe</t>
  </si>
  <si>
    <t>Loliinae</t>
  </si>
  <si>
    <t>['Festuca lenensis', 'Festuca baffinensis', 'Festuca brevissima', 'Festuca altissima', 'Lolium giganteum', 'Festuca saximontana', 'Festuca edlundiae', 'Festuca rubra', 'Festuca hyperborea', 'Festuca brachyphylla', 'Festuca ovina', 'Festuca kolymensis']</t>
  </si>
  <si>
    <t>Pooideae</t>
  </si>
  <si>
    <t>atccgtgttttgagaaaacaaggaggttctcgaactagaatacaaaggaaaag</t>
  </si>
  <si>
    <t>TestSamples_IA-41-45-46_P6_LD_tag:23069</t>
  </si>
  <si>
    <t>asterids</t>
  </si>
  <si>
    <t>['Aegopodium podagraria', 'Cicuta virosa', 'Diapensia lapponica', 'Sanicula marilandica', 'Sium latifolium', 'Aralia nudicaulis', 'Phacelia franklinii', 'Podistera macounii', 'Aegopodium alpestre']</t>
  </si>
  <si>
    <t>Solanaceae</t>
  </si>
  <si>
    <t>Solanoideae</t>
  </si>
  <si>
    <t>['Alkekengi officinarum', 'Solanum chenopodioides', 'Solanum dulcamara', 'Datura inoxia', 'Datura stramonium', 'Solanum nigrum', 'Lycium chinense', 'Physalis peruviana', 'Solanum villosum', 'Solanum nitidibaccatum', 'Scopolia carniolica', 'Atropa belladonna', 'Lycium barbarum']</t>
  </si>
  <si>
    <t>['Solanum nigrum', 'Solanum tuberosum', 'Solanum dulcamara', 'Datura stramonium', 'Solanum villosum']</t>
  </si>
  <si>
    <t>atcctgttttctgaaaacaaacaaaggttcagaaaaaaag</t>
  </si>
  <si>
    <t>TestSamples_IA-41-45-46_P6_LD_tag:83</t>
  </si>
  <si>
    <t>Hordeinae</t>
  </si>
  <si>
    <t>['Elymus fibrosus', 'Elymus trachycaulus', 'Elymus jacutensis', 'Elymus macrourus', 'Elymus caninus', 'Leymus arenarius', 'Leymus innovatus', 'Leymus mollis', 'Elymus mutabilis', 'Leymus interior', 'Elymus repens', 'Pseudoroegneria spicata', 'Elymus alaskanus']</t>
  </si>
  <si>
    <t>Triticeae</t>
  </si>
  <si>
    <t>['Elymus caninus', 'Thinopyrum intermedium', 'Hordelymus europaeus', 'Aegilops cylindrica', 'Aegilops geniculata', 'Aegilops neglecta', 'Aegilops triuncialis']</t>
  </si>
  <si>
    <t>['Elymus fibrosus', 'Elymus trachycaulus', 'Agropyron cristatum', 'Elymus macrourus', 'Elymus caninus', 'Leymus arenarius', 'Leymus innovatus', 'Hordelymus europaeus', 'Leymus mollis', 'Triticum aestivum', 'Elymus sibiricus', 'Elymus alaskanus']</t>
  </si>
  <si>
    <t>atccgtgttttgagaaaacaaggggttctcgaactagaatacaaaggaaaag</t>
  </si>
  <si>
    <t>TestSamples_IA-41-45-46_P6_LD_tag:2471</t>
  </si>
  <si>
    <t>Carlina</t>
  </si>
  <si>
    <t>subspecies</t>
  </si>
  <si>
    <t>Carlina acaulis subsp. caulescens</t>
  </si>
  <si>
    <t>['Carlina acaulis']</t>
  </si>
  <si>
    <t>atcacgttttccgaaaacaaacaaaggttcagaaagcaaaaataaaaaag</t>
  </si>
  <si>
    <t>TestSamples_IA-41-45-46_P6_LD_tag:2113</t>
  </si>
  <si>
    <t>['Tephroseris palustris', 'Tephroseris yukonensis', 'Tephroseris frigida', 'Tephroseris integrifolia', 'Tephroseris atropurpurea', 'Tephroseris kjellmanii', 'Tephroseris lindstroemii']</t>
  </si>
  <si>
    <t>Senecioneae</t>
  </si>
  <si>
    <t>['Jacobaea subalpina', 'Tephroseris integrifolia', 'Tephroseris helenitis', 'Tephroseris tenuifolia']</t>
  </si>
  <si>
    <t>['Tephroseris yukonensis', 'Tephroseris integrifolia', 'Tephroseris atropurpurea', 'Tephroseris frigida']</t>
  </si>
  <si>
    <t>atcacgttttccgaaaacaaacaaaggttcagaaaacgaaaataaaaaag</t>
  </si>
  <si>
    <t>TestSamples_IA-41-45-46_P6_LD_tag:5954</t>
  </si>
  <si>
    <t>Eupatorium</t>
  </si>
  <si>
    <t>Eupatorium cannabinum</t>
  </si>
  <si>
    <t>['Eupatorium cannabinum']</t>
  </si>
  <si>
    <t>atcacgttttccgaaaacaaacaaaggttcagaaagcgaaaataaaaaaa</t>
  </si>
  <si>
    <t>TestSamples_IA-41-45-46_P6_LD_tag:11778</t>
  </si>
  <si>
    <t>['Picea glauca', 'Picea mariana']</t>
  </si>
  <si>
    <t>Picea abies</t>
  </si>
  <si>
    <t>['Picea abies']</t>
  </si>
  <si>
    <t>atccggttcatggagacaatagtttcttcttttattctcctaagataggaaggg</t>
  </si>
  <si>
    <t>TestSamples_IA-41-45-46_P6_LD_tag:2094</t>
  </si>
  <si>
    <t>apioid superclade</t>
  </si>
  <si>
    <t>['Angelica atropurpurea', 'Heracleum dissectum', 'Angelica decurrens', 'Angelica gmelinii', 'Angelica archangelica', 'Heracleum maximum', 'Heracleum sphondylium', 'Conioselinum tataricum', 'Podistera macounii']</t>
  </si>
  <si>
    <t>Apioideae</t>
  </si>
  <si>
    <t>atcctattttccaaaaacaaacaaaggcccagaaggtgaaaaaag</t>
  </si>
  <si>
    <t>TestSamples_IA-41-45-46_P6_LD_tag:6227</t>
  </si>
  <si>
    <t>order</t>
  </si>
  <si>
    <t>Lamiales</t>
  </si>
  <si>
    <t>['Littorella uniflora', 'Linaria vulgaris', 'Castilleja septentrionalis', 'Callitriche cophocarpa', 'Hippuris tetraphylla', 'Plantago lanceolata', 'Hippuris vulgaris', 'Scrophularia nodosa', 'Prunella vulgaris']</t>
  </si>
  <si>
    <t>Rubiaceae</t>
  </si>
  <si>
    <t>['Galium sylvaticum', 'Galium verum']</t>
  </si>
  <si>
    <t>['Galium spurium', 'Galium palustre', 'Galium rotundifolium']</t>
  </si>
  <si>
    <t>atcctgttttccgaaaacaaaggttcagaaagttaaaaaagg</t>
  </si>
  <si>
    <t>TestSamples_IA-41-45-46_P6_LD_tag:6601</t>
  </si>
  <si>
    <t>['Phlojodicarpus villosus', 'Pachypleurum alpinum', 'Cnidium dubium', 'Heracleum sphondylium', 'Seseli libanotis']</t>
  </si>
  <si>
    <t>Seseli</t>
  </si>
  <si>
    <t>Seseli annuum</t>
  </si>
  <si>
    <t>['Seseli annuum']</t>
  </si>
  <si>
    <t>['Aegopodium podagraria', 'Conium maculatum', 'Levisticum officinale', 'Coriandrum sativum', 'Pachypleurum alpinum', 'Cnidium dubium', 'Seseli libanotis']</t>
  </si>
  <si>
    <t>atcctattttacaaaaacaaacaaaggcccagaaggtgaaaaagg</t>
  </si>
  <si>
    <t>TestSamples_IA-41-45-46_P6_LD_tag:2663</t>
  </si>
  <si>
    <t>Hypochaeris</t>
  </si>
  <si>
    <t>Hypochaeris maculata</t>
  </si>
  <si>
    <t>['Hypochaeris maculata']</t>
  </si>
  <si>
    <t>atcacgttttccaaaaacaaacaaaggttcagaaagcgaaaataaaaaag</t>
  </si>
  <si>
    <t>TestSamples_IA-41-45-46_P6_LD_tag:6332</t>
  </si>
  <si>
    <t>Adoxaceae</t>
  </si>
  <si>
    <t>['Sambucus sibirica', 'Sambucus racemosa']</t>
  </si>
  <si>
    <t>campanulids</t>
  </si>
  <si>
    <t>['Sambucus nigra', 'Sambucus racemosa', 'Sambucus ebulus']</t>
  </si>
  <si>
    <t>Sambucus racemosa subsp. pubens</t>
  </si>
  <si>
    <t>['Sambucus racemosa']</t>
  </si>
  <si>
    <t>atcctgttttccgaaaacaaacaaaggttcagaaagcgaaaataaaaaag</t>
  </si>
  <si>
    <t>1.94878590638032e-05</t>
  </si>
  <si>
    <t>5.5119989179292e-05</t>
  </si>
  <si>
    <t>TestSamples_IA-41-45-46_P6_LD_tag:5931</t>
  </si>
  <si>
    <t>Polygonaceae</t>
  </si>
  <si>
    <t>Rumex</t>
  </si>
  <si>
    <t>['Rumex graminifolius', 'Rumex sibiricus', 'Rumex longifolius', 'Rumex hultenii', 'Rumex pallidus', 'Rumex pseudonatronatus', 'Rumex confertus', 'Rumex aquaticus', 'Rumex maritimus', 'Rumex thyrsiflorus', 'Rumex acetosa', 'Rumex arcticus', 'Rumex acetosella']</t>
  </si>
  <si>
    <t>Rumiceae</t>
  </si>
  <si>
    <t>['Rumex obtusifolius', 'Rumex sibiricus', 'Rumex longifolius', 'Rumex acetosella', 'Rumex pseudonatronatus', 'Rumex confertus', 'Rumex arcticus', 'Rumex alpinus', 'Rumex maritimus', 'Rumex thyrsiflorus', 'Rumex acetosa', 'Rumex crispus', 'Rumex aquaticus', 'Rumex graminifolius']</t>
  </si>
  <si>
    <t>ctcctcctttccaaaaggaagaataaaaaag</t>
  </si>
  <si>
    <t>TestSamples_IA-41-45-46_P6_LD_tag:2222</t>
  </si>
  <si>
    <t>Asterales</t>
  </si>
  <si>
    <t>atcacgttttccgaaaataaacaaaggttcagaaagcgaaaataaaaaag</t>
  </si>
  <si>
    <t>TestSamples_IA-41-45-46_P6_LD_tag:2425</t>
  </si>
  <si>
    <t>Heliantheae</t>
  </si>
  <si>
    <t>atcacgttttccgaaaacaaataaaggttcagaaagcgaaaataaaaaag</t>
  </si>
  <si>
    <t>TestSamples_IA-41-45-46_P6_LD_tag:2922</t>
  </si>
  <si>
    <t>Dubyaea</t>
  </si>
  <si>
    <t>Dubyaea chimiliensis</t>
  </si>
  <si>
    <t>['Dubyaea chimiliensis']</t>
  </si>
  <si>
    <t>atcacgttttccgaaaacaaacaaaggttcagaaagtgaaaataaaaaag</t>
  </si>
  <si>
    <t>TestSamples_IA-41-45-46_P6_LD_tag:2111</t>
  </si>
  <si>
    <t>atcacgttttccgaaaacaaacaaaagttcagaaagcgaaaataaaaaag</t>
  </si>
  <si>
    <t>TestSamples_IA-41-45-46_P6_LD_tag:24244</t>
  </si>
  <si>
    <t>Mesangiospermae</t>
  </si>
  <si>
    <t>indigoferoid/millettioid clade</t>
  </si>
  <si>
    <t>Bituminaria</t>
  </si>
  <si>
    <t>Bituminaria bituminosa</t>
  </si>
  <si>
    <t>['Bituminaria bituminosa']</t>
  </si>
  <si>
    <t>atcctgttttccgaaaacaaagaaaagttcataaagtgataataaaaaagg</t>
  </si>
  <si>
    <t>TestSamples_IA-41-45-46_P6_LD_tag:13854</t>
  </si>
  <si>
    <t>Triptilion</t>
  </si>
  <si>
    <t>Triptilion spinosum</t>
  </si>
  <si>
    <t>['Triptilion spinosum']</t>
  </si>
  <si>
    <t>atcacgttttttgaaaacaaacaaaggttcagaaagcgaaaataaaaaag</t>
  </si>
  <si>
    <t>TestSamples_IA-41-45-46_P6_LD_tag:56980</t>
  </si>
  <si>
    <t>Campanula</t>
  </si>
  <si>
    <t>['Campanula lasiocarpa', 'Campanula turczaninovii', 'Campanula patula', 'Campanula glomerata', 'Campanula alaskana', 'Campanula rotundifolia']</t>
  </si>
  <si>
    <t>Wahlenbergia</t>
  </si>
  <si>
    <t>Wahlenbergia hederacea</t>
  </si>
  <si>
    <t>['Wahlenbergia hederacea']</t>
  </si>
  <si>
    <t>['Campanula rapunculoides', 'Campanula lasiocarpa', 'Campanula barbata', 'Campanula glomerata', 'Campanula alaskana', 'Phyteuma spicatum', 'Campanula latifolia', 'Campanula persicifolia', 'Campanula trachelium', 'Jasione montana', 'Campanula rotundifolia']</t>
  </si>
  <si>
    <t>atctggttttctgacactaagaaaaggttcagaaagcgaaaatcaaaaaa</t>
  </si>
  <si>
    <t>Age (cal BP)</t>
  </si>
  <si>
    <t>Acer</t>
  </si>
  <si>
    <t>Alnus</t>
  </si>
  <si>
    <t>Amaranthaceae</t>
  </si>
  <si>
    <t>Arbutus</t>
  </si>
  <si>
    <t>Artemisia</t>
  </si>
  <si>
    <t>Asphodelus albus-type</t>
  </si>
  <si>
    <t>Aster-type</t>
  </si>
  <si>
    <t>Calluna</t>
  </si>
  <si>
    <t>Cardueae</t>
  </si>
  <si>
    <t>Carpinus betulus</t>
  </si>
  <si>
    <t>Caryophyllaceae</t>
  </si>
  <si>
    <t>Castanea</t>
  </si>
  <si>
    <t>Centaurea nigra</t>
  </si>
  <si>
    <t>Chaetomium</t>
  </si>
  <si>
    <t>Cichorioideae</t>
  </si>
  <si>
    <t>Cistus-type</t>
  </si>
  <si>
    <t>Convolvulus arvensis-type</t>
  </si>
  <si>
    <t>Corylus</t>
  </si>
  <si>
    <t>Crataegus</t>
  </si>
  <si>
    <t>Dipsacus fullonum-type</t>
  </si>
  <si>
    <t>Drosera-type</t>
  </si>
  <si>
    <t>Ephedra</t>
  </si>
  <si>
    <t>Erica-type</t>
  </si>
  <si>
    <t>Fagus sylvatica</t>
  </si>
  <si>
    <t>Fraxinus</t>
  </si>
  <si>
    <t>Fungi (type 18</t>
  </si>
  <si>
    <t>Glomus cf. G. fasciculatum</t>
  </si>
  <si>
    <t>Hedera</t>
  </si>
  <si>
    <t>Ilex aquifolium</t>
  </si>
  <si>
    <t>Juglans</t>
  </si>
  <si>
    <t>Juniperus-type</t>
  </si>
  <si>
    <t>Lamiaceae</t>
  </si>
  <si>
    <t>Liliaceae</t>
  </si>
  <si>
    <t>Myriophyllum</t>
  </si>
  <si>
    <t>Pinus pinaster</t>
  </si>
  <si>
    <t>Pinus sylvestris-type</t>
  </si>
  <si>
    <t>Plantago coronopus</t>
  </si>
  <si>
    <t>Plantago lanceolata-type</t>
  </si>
  <si>
    <t>Plantago major/P. media</t>
  </si>
  <si>
    <t>Poaceae (Cerealia-type)</t>
  </si>
  <si>
    <t>Polygala</t>
  </si>
  <si>
    <t>Polypodiophyta (monolete)</t>
  </si>
  <si>
    <t>Polypodium vulgare-type</t>
  </si>
  <si>
    <t>Populus</t>
  </si>
  <si>
    <t>Prunus</t>
  </si>
  <si>
    <t>Pseudoschizaea</t>
  </si>
  <si>
    <t>Pteridium aquilinum</t>
  </si>
  <si>
    <t>Quercus (deciduous)</t>
  </si>
  <si>
    <t>Salix</t>
  </si>
  <si>
    <t>Secale</t>
  </si>
  <si>
    <t>Sordaria-type</t>
  </si>
  <si>
    <t>Tilia</t>
  </si>
  <si>
    <t>Ulex-type</t>
  </si>
  <si>
    <t>Ulmus</t>
  </si>
  <si>
    <t>Unknown (trilete)</t>
  </si>
  <si>
    <t>Urtica dioica-type</t>
  </si>
  <si>
    <t>Site</t>
  </si>
  <si>
    <t>Asteroideae</t>
  </si>
  <si>
    <t>Carpinus</t>
  </si>
  <si>
    <t>Centaurea</t>
  </si>
  <si>
    <t>Cichorioidae</t>
  </si>
  <si>
    <t>Cistaceae</t>
  </si>
  <si>
    <t>Convolvulus</t>
  </si>
  <si>
    <t>Dipsacus</t>
  </si>
  <si>
    <t>Drosera</t>
  </si>
  <si>
    <t>Fagus</t>
  </si>
  <si>
    <t>Ilex</t>
  </si>
  <si>
    <t>Pinus</t>
  </si>
  <si>
    <t>Plantago</t>
  </si>
  <si>
    <t>Quercus</t>
  </si>
  <si>
    <t>Ulex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</si>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</sst>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5" fillId="0" borderId="0"/>
  </cellStyleXfs>
  <cellXfs count="22">
    <xf numFmtId="0" fontId="0" fillId="0" borderId="0" xfId="0"/>
    <xf numFmtId="0" fontId="1" fillId="0" borderId="0" xfId="1"/>
    <xf numFmtId="0" fontId="0" fillId="3" borderId="0" xfId="0" applyFill="1"/>
    <xf numFmtId="0" fontId="2" fillId="0" borderId="2" xfId="2" applyNumberFormat="1" applyBorder="1" applyAlignment="1" applyProtection="1"/>
    <xf numFmtId="2" fontId="0" fillId="0" borderId="2" xfId="0" applyNumberFormat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2" fillId="0" borderId="2" xfId="2" applyNumberFormat="1" applyFill="1" applyBorder="1" applyAlignment="1" applyProtection="1"/>
    <xf numFmtId="0" fontId="3" fillId="0" borderId="2" xfId="0" applyFont="1" applyBorder="1" applyAlignment="1">
      <alignment horizontal="center" vertical="center"/>
    </xf>
    <xf numFmtId="0" fontId="1" fillId="0" borderId="0" xfId="1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3" fillId="6" borderId="0" xfId="0" applyFont="1" applyFill="1"/>
    <xf numFmtId="0" fontId="3" fillId="2" borderId="0" xfId="0" applyFont="1" applyFill="1"/>
    <xf numFmtId="0" fontId="3" fillId="3" borderId="0" xfId="0" applyFont="1" applyFill="1"/>
    <xf numFmtId="0" fontId="0" fillId="0" borderId="0" xfId="0" quotePrefix="1"/>
  </cellXfs>
  <cellStyles count="4">
    <cellStyle name="Heading 2" xfId="2" builtinId="17"/>
    <cellStyle name="Hyperlink" xfId="1" builtinId="8"/>
    <cellStyle name="Normal" xfId="0" builtinId="0"/>
    <cellStyle name="Normal 4" xfId="3" xr:uid="{F4B7D0B3-E48B-4276-9A65-F50D4EDFA4C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E593-DED9-4DC6-9AB4-C3BCCF160983}">
  <dimension ref="A1:EU35"/>
  <sheetViews>
    <sheetView tabSelected="1" topLeftCell="AB10" workbookViewId="0">
      <pane xSplit="12060" ySplit="600" topLeftCell="CL1" activePane="bottomLeft"/>
      <selection sqref="A1:XFD1048576"/>
      <selection pane="topRight" activeCell="AF1" sqref="AF1:AF1048576"/>
      <selection pane="bottomLeft" activeCell="AE27" sqref="AE27"/>
      <selection pane="bottomRight" activeCell="CI2" sqref="CI2:CR28"/>
    </sheetView>
  </sheetViews>
  <sheetFormatPr defaultColWidth="8.77734375" defaultRowHeight="14.4" x14ac:dyDescent="0.3"/>
  <cols>
    <col min="33" max="33" width="9.109375" customWidth="1"/>
    <col min="34" max="34" width="23.6640625" customWidth="1"/>
  </cols>
  <sheetData>
    <row r="1" spans="1:151" x14ac:dyDescent="0.3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s="12" t="s">
        <v>210</v>
      </c>
      <c r="I1" s="12" t="s">
        <v>211</v>
      </c>
      <c r="J1" s="12" t="s">
        <v>212</v>
      </c>
      <c r="K1" s="12" t="s">
        <v>213</v>
      </c>
      <c r="L1" s="12" t="s">
        <v>214</v>
      </c>
      <c r="M1" s="12" t="s">
        <v>215</v>
      </c>
      <c r="N1" s="12" t="s">
        <v>216</v>
      </c>
      <c r="O1" s="12" t="s">
        <v>217</v>
      </c>
      <c r="P1" s="12" t="s">
        <v>218</v>
      </c>
      <c r="Q1" s="13" t="s">
        <v>219</v>
      </c>
      <c r="R1" s="13" t="s">
        <v>220</v>
      </c>
      <c r="S1" s="13" t="s">
        <v>221</v>
      </c>
      <c r="T1" s="13" t="s">
        <v>222</v>
      </c>
      <c r="U1" s="13" t="s">
        <v>223</v>
      </c>
      <c r="V1" s="13" t="s">
        <v>224</v>
      </c>
      <c r="W1" s="13" t="s">
        <v>225</v>
      </c>
      <c r="X1" s="13" t="s">
        <v>226</v>
      </c>
      <c r="Y1" s="13" t="s">
        <v>227</v>
      </c>
      <c r="Z1" s="14" t="s">
        <v>228</v>
      </c>
      <c r="AA1" s="14" t="s">
        <v>229</v>
      </c>
      <c r="AB1" s="14" t="s">
        <v>230</v>
      </c>
      <c r="AC1" s="14" t="s">
        <v>231</v>
      </c>
      <c r="AD1" s="14" t="s">
        <v>232</v>
      </c>
      <c r="AE1" s="14" t="s">
        <v>233</v>
      </c>
      <c r="AF1" s="14" t="s">
        <v>234</v>
      </c>
      <c r="AG1" s="14" t="s">
        <v>235</v>
      </c>
      <c r="AH1" s="14" t="s">
        <v>236</v>
      </c>
      <c r="AI1" s="2" t="s">
        <v>237</v>
      </c>
      <c r="AJ1" s="2" t="s">
        <v>238</v>
      </c>
      <c r="AK1" s="2" t="s">
        <v>239</v>
      </c>
      <c r="AL1" s="2" t="s">
        <v>240</v>
      </c>
      <c r="AM1" s="2" t="s">
        <v>241</v>
      </c>
      <c r="AN1" s="2" t="s">
        <v>242</v>
      </c>
      <c r="AO1" s="2" t="s">
        <v>243</v>
      </c>
      <c r="AP1" s="2" t="s">
        <v>244</v>
      </c>
      <c r="AQ1" s="2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  <c r="DD1" s="7" t="s">
        <v>310</v>
      </c>
      <c r="DE1" s="7" t="s">
        <v>311</v>
      </c>
      <c r="DF1" s="7" t="s">
        <v>312</v>
      </c>
      <c r="DG1" s="7" t="s">
        <v>313</v>
      </c>
      <c r="DH1" s="7" t="s">
        <v>314</v>
      </c>
      <c r="DI1" s="7" t="s">
        <v>315</v>
      </c>
      <c r="DJ1" s="7" t="s">
        <v>316</v>
      </c>
      <c r="DK1" s="7" t="s">
        <v>317</v>
      </c>
      <c r="DL1" s="7" t="s">
        <v>318</v>
      </c>
      <c r="DM1" s="7" t="s">
        <v>319</v>
      </c>
      <c r="DN1" s="7" t="s">
        <v>320</v>
      </c>
      <c r="DO1" s="7" t="s">
        <v>321</v>
      </c>
      <c r="DP1" s="7" t="s">
        <v>322</v>
      </c>
      <c r="DQ1" s="7" t="s">
        <v>323</v>
      </c>
      <c r="DR1" s="7" t="s">
        <v>324</v>
      </c>
      <c r="DS1" s="7" t="s">
        <v>325</v>
      </c>
      <c r="DT1" s="7" t="s">
        <v>326</v>
      </c>
      <c r="DU1" s="7" t="s">
        <v>327</v>
      </c>
      <c r="DV1" s="7" t="s">
        <v>328</v>
      </c>
      <c r="DW1" s="7" t="s">
        <v>329</v>
      </c>
      <c r="DX1" s="7" t="s">
        <v>330</v>
      </c>
      <c r="DY1" s="7" t="s">
        <v>331</v>
      </c>
      <c r="DZ1" s="7" t="s">
        <v>332</v>
      </c>
      <c r="EA1" s="7" t="s">
        <v>333</v>
      </c>
      <c r="EB1" s="7" t="s">
        <v>334</v>
      </c>
      <c r="EC1" s="7" t="s">
        <v>335</v>
      </c>
      <c r="ED1" s="7" t="s">
        <v>336</v>
      </c>
      <c r="EE1" s="7" t="s">
        <v>337</v>
      </c>
      <c r="EF1" s="7" t="s">
        <v>338</v>
      </c>
      <c r="EG1" s="7" t="s">
        <v>339</v>
      </c>
      <c r="EH1" s="7" t="s">
        <v>340</v>
      </c>
      <c r="EI1" s="7" t="s">
        <v>341</v>
      </c>
      <c r="EJ1" s="7" t="s">
        <v>342</v>
      </c>
      <c r="EK1" s="7" t="s">
        <v>343</v>
      </c>
      <c r="EL1" s="7" t="s">
        <v>344</v>
      </c>
      <c r="EM1" s="7" t="s">
        <v>345</v>
      </c>
      <c r="EN1" s="7" t="s">
        <v>346</v>
      </c>
      <c r="EO1" s="15" t="s">
        <v>347</v>
      </c>
      <c r="EP1" s="16" t="s">
        <v>348</v>
      </c>
      <c r="EQ1" s="16" t="s">
        <v>349</v>
      </c>
      <c r="ER1" s="16" t="s">
        <v>350</v>
      </c>
      <c r="ES1" s="16" t="s">
        <v>351</v>
      </c>
      <c r="ET1" s="16" t="s">
        <v>352</v>
      </c>
      <c r="EU1" s="16" t="s">
        <v>353</v>
      </c>
    </row>
    <row r="2" spans="1:151" x14ac:dyDescent="0.3">
      <c r="A2" t="s">
        <v>354</v>
      </c>
      <c r="B2">
        <v>2271877</v>
      </c>
      <c r="C2">
        <v>80</v>
      </c>
      <c r="D2">
        <v>2271877</v>
      </c>
      <c r="E2">
        <v>80</v>
      </c>
      <c r="F2">
        <v>1</v>
      </c>
      <c r="G2">
        <v>1</v>
      </c>
      <c r="H2" s="12">
        <v>0.92156862745099999</v>
      </c>
      <c r="I2" s="12">
        <v>14101</v>
      </c>
      <c r="J2" s="12" t="s">
        <v>91</v>
      </c>
      <c r="K2" s="12">
        <v>13578</v>
      </c>
      <c r="L2" s="12" t="s">
        <v>92</v>
      </c>
      <c r="M2" s="12" t="s">
        <v>355</v>
      </c>
      <c r="N2" s="12" t="s">
        <v>92</v>
      </c>
      <c r="O2" s="12">
        <v>13578</v>
      </c>
      <c r="P2" s="12" t="s">
        <v>356</v>
      </c>
      <c r="Q2" s="17">
        <v>1</v>
      </c>
      <c r="R2" s="17">
        <v>14101</v>
      </c>
      <c r="S2" s="17" t="s">
        <v>91</v>
      </c>
      <c r="T2" s="17">
        <v>13578</v>
      </c>
      <c r="U2" s="17" t="s">
        <v>92</v>
      </c>
      <c r="V2" s="17" t="s">
        <v>357</v>
      </c>
      <c r="W2" s="17" t="s">
        <v>93</v>
      </c>
      <c r="X2" s="17">
        <v>223678</v>
      </c>
      <c r="Y2" s="17" t="s">
        <v>358</v>
      </c>
      <c r="Z2" s="18">
        <v>1</v>
      </c>
      <c r="AA2" s="18">
        <v>14101</v>
      </c>
      <c r="AB2" s="18" t="s">
        <v>91</v>
      </c>
      <c r="AC2" s="18">
        <v>13578</v>
      </c>
      <c r="AD2" s="18" t="s">
        <v>92</v>
      </c>
      <c r="AE2" s="18" t="s">
        <v>357</v>
      </c>
      <c r="AF2" s="18" t="s">
        <v>93</v>
      </c>
      <c r="AG2" s="18">
        <v>223678</v>
      </c>
      <c r="AH2" s="18" t="s">
        <v>358</v>
      </c>
      <c r="AI2" s="2">
        <v>0.92156862745099999</v>
      </c>
      <c r="AJ2" s="2">
        <v>14101</v>
      </c>
      <c r="AK2" s="2" t="s">
        <v>91</v>
      </c>
      <c r="AL2" s="2">
        <v>13578</v>
      </c>
      <c r="AM2" s="2" t="s">
        <v>92</v>
      </c>
      <c r="AN2" s="2" t="s">
        <v>355</v>
      </c>
      <c r="AO2" s="2" t="s">
        <v>92</v>
      </c>
      <c r="AP2" s="2">
        <v>13578</v>
      </c>
      <c r="AQ2" s="2" t="s">
        <v>359</v>
      </c>
      <c r="AR2" t="s">
        <v>360</v>
      </c>
      <c r="AS2">
        <v>5</v>
      </c>
      <c r="AT2" t="s">
        <v>361</v>
      </c>
      <c r="AU2">
        <v>0.77978045252404504</v>
      </c>
      <c r="AV2">
        <v>0.88471447764259603</v>
      </c>
      <c r="AW2">
        <v>0.94918760004239899</v>
      </c>
      <c r="AX2">
        <v>0.857340938997178</v>
      </c>
      <c r="AY2">
        <v>0.36403932936168398</v>
      </c>
      <c r="AZ2">
        <v>0.72761455134584296</v>
      </c>
      <c r="BA2">
        <v>0.81826996819170905</v>
      </c>
      <c r="BB2">
        <v>0.993691290865518</v>
      </c>
      <c r="BC2">
        <v>0.88815184771054001</v>
      </c>
      <c r="BD2">
        <v>0.88569739527486102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0.28764379753634201</v>
      </c>
      <c r="BP2">
        <v>9.4965740577173302E-2</v>
      </c>
      <c r="BQ2">
        <v>8.1534117888458393E-2</v>
      </c>
      <c r="BR2">
        <v>6.1330672338471899E-2</v>
      </c>
      <c r="BS2">
        <v>7.7643936022050497E-2</v>
      </c>
      <c r="BT2">
        <v>0.109773608324179</v>
      </c>
      <c r="BU2">
        <v>4.4400499713053897E-2</v>
      </c>
      <c r="BV2">
        <v>4.5787677437513202E-3</v>
      </c>
      <c r="BW2">
        <v>0.15239807559729601</v>
      </c>
      <c r="BX2">
        <v>7.6683065975994794E-2</v>
      </c>
      <c r="BY2">
        <v>153463</v>
      </c>
      <c r="BZ2">
        <v>149218</v>
      </c>
      <c r="CA2">
        <v>691314</v>
      </c>
      <c r="CB2">
        <v>99819</v>
      </c>
      <c r="CC2">
        <v>21596</v>
      </c>
      <c r="CD2">
        <v>370367</v>
      </c>
      <c r="CE2">
        <v>392929</v>
      </c>
      <c r="CF2">
        <v>186076</v>
      </c>
      <c r="CG2">
        <v>49058</v>
      </c>
      <c r="CH2">
        <v>158037</v>
      </c>
      <c r="CI2">
        <v>8</v>
      </c>
      <c r="CJ2">
        <v>8</v>
      </c>
      <c r="CK2">
        <v>8</v>
      </c>
      <c r="CL2">
        <v>8</v>
      </c>
      <c r="CM2">
        <v>8</v>
      </c>
      <c r="CN2">
        <v>8</v>
      </c>
      <c r="CO2">
        <v>8</v>
      </c>
      <c r="CP2">
        <v>8</v>
      </c>
      <c r="CQ2">
        <v>8</v>
      </c>
      <c r="CR2">
        <v>8</v>
      </c>
      <c r="CS2">
        <f t="shared" ref="CS2:CS35" si="0">SUM(CI2:CR2)</f>
        <v>80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15">
        <f t="shared" ref="EO2:EO35" si="1">SUM(AU2:EN2)</f>
        <v>2272066.1394401337</v>
      </c>
      <c r="EP2" s="16">
        <v>0</v>
      </c>
      <c r="EQ2" s="16">
        <v>0</v>
      </c>
      <c r="ER2" s="16">
        <v>0</v>
      </c>
      <c r="ES2" s="16">
        <v>0</v>
      </c>
      <c r="ET2" s="16">
        <v>0</v>
      </c>
      <c r="EU2" s="16">
        <v>0</v>
      </c>
    </row>
    <row r="3" spans="1:151" x14ac:dyDescent="0.3">
      <c r="A3" t="s">
        <v>362</v>
      </c>
      <c r="B3">
        <v>5377</v>
      </c>
      <c r="C3">
        <v>39</v>
      </c>
      <c r="D3">
        <v>5376</v>
      </c>
      <c r="E3">
        <v>38</v>
      </c>
      <c r="F3">
        <v>0.99981402268923203</v>
      </c>
      <c r="G3">
        <v>0.97435897435897401</v>
      </c>
      <c r="H3" s="19">
        <v>1</v>
      </c>
      <c r="I3" s="19">
        <v>4609</v>
      </c>
      <c r="J3" s="19" t="s">
        <v>95</v>
      </c>
      <c r="K3" s="19">
        <v>46326</v>
      </c>
      <c r="L3" s="19" t="s">
        <v>96</v>
      </c>
      <c r="M3" s="19" t="s">
        <v>355</v>
      </c>
      <c r="N3" s="19" t="s">
        <v>96</v>
      </c>
      <c r="O3" s="19">
        <v>46326</v>
      </c>
      <c r="P3" s="19" t="s">
        <v>363</v>
      </c>
      <c r="Q3" s="17">
        <v>1</v>
      </c>
      <c r="R3" s="17">
        <v>4609</v>
      </c>
      <c r="S3" s="17" t="s">
        <v>95</v>
      </c>
      <c r="T3" s="17">
        <v>46326</v>
      </c>
      <c r="U3" s="17" t="s">
        <v>96</v>
      </c>
      <c r="V3" s="17" t="s">
        <v>355</v>
      </c>
      <c r="W3" s="17" t="s">
        <v>96</v>
      </c>
      <c r="X3" s="17">
        <v>46326</v>
      </c>
      <c r="Y3" s="17" t="s">
        <v>364</v>
      </c>
      <c r="Z3" s="18">
        <v>1</v>
      </c>
      <c r="AA3" s="18">
        <v>4609</v>
      </c>
      <c r="AB3" s="18" t="s">
        <v>95</v>
      </c>
      <c r="AC3" s="18">
        <v>46326</v>
      </c>
      <c r="AD3" s="18" t="s">
        <v>96</v>
      </c>
      <c r="AE3" s="18" t="s">
        <v>357</v>
      </c>
      <c r="AF3" s="18" t="s">
        <v>98</v>
      </c>
      <c r="AG3" s="18">
        <v>76438</v>
      </c>
      <c r="AH3" s="18" t="s">
        <v>365</v>
      </c>
      <c r="AI3" s="20">
        <v>1</v>
      </c>
      <c r="AJ3" s="20">
        <v>4609</v>
      </c>
      <c r="AK3" s="20" t="s">
        <v>95</v>
      </c>
      <c r="AL3" s="20" t="s">
        <v>366</v>
      </c>
      <c r="AM3" s="20" t="s">
        <v>366</v>
      </c>
      <c r="AN3" s="20" t="s">
        <v>367</v>
      </c>
      <c r="AO3" s="20" t="s">
        <v>368</v>
      </c>
      <c r="AP3" s="20">
        <v>986141</v>
      </c>
      <c r="AQ3" s="20" t="s">
        <v>369</v>
      </c>
      <c r="AR3" t="s">
        <v>370</v>
      </c>
      <c r="AS3" t="s">
        <v>366</v>
      </c>
      <c r="AT3" t="s">
        <v>366</v>
      </c>
      <c r="AU3">
        <v>1.40652074114675E-3</v>
      </c>
      <c r="AV3">
        <v>0</v>
      </c>
      <c r="AW3">
        <v>1.4816789024686299E-3</v>
      </c>
      <c r="AX3">
        <v>8.9473095848884594E-3</v>
      </c>
      <c r="AY3">
        <v>2.8665141068137802E-3</v>
      </c>
      <c r="AZ3">
        <v>5.3280379070726701E-4</v>
      </c>
      <c r="BA3">
        <v>4.7419692132550598E-4</v>
      </c>
      <c r="BB3" s="21" t="s">
        <v>371</v>
      </c>
      <c r="BC3">
        <v>1.9888188145849899E-2</v>
      </c>
      <c r="BD3">
        <v>9.11550994330859E-3</v>
      </c>
      <c r="BE3">
        <v>0.375</v>
      </c>
      <c r="BF3">
        <v>0</v>
      </c>
      <c r="BG3">
        <v>0.25</v>
      </c>
      <c r="BH3">
        <v>0.875</v>
      </c>
      <c r="BI3">
        <v>0.25</v>
      </c>
      <c r="BJ3">
        <v>0.125</v>
      </c>
      <c r="BK3">
        <v>1</v>
      </c>
      <c r="BL3">
        <v>0.125</v>
      </c>
      <c r="BM3">
        <v>0.75</v>
      </c>
      <c r="BN3">
        <v>0.75</v>
      </c>
      <c r="BO3">
        <v>2.5016601643971098E-3</v>
      </c>
      <c r="BP3">
        <v>0</v>
      </c>
      <c r="BQ3">
        <v>2.7454112157754701E-3</v>
      </c>
      <c r="BR3">
        <v>5.8962125273407696E-3</v>
      </c>
      <c r="BS3">
        <v>6.4693478542978298E-3</v>
      </c>
      <c r="BT3">
        <v>1.5069966938040301E-3</v>
      </c>
      <c r="BU3">
        <v>2.2297753318659301E-4</v>
      </c>
      <c r="BV3" s="21" t="s">
        <v>372</v>
      </c>
      <c r="BW3">
        <v>3.08900319705631E-2</v>
      </c>
      <c r="BX3">
        <v>7.5025351709393697E-3</v>
      </c>
      <c r="BY3">
        <v>464</v>
      </c>
      <c r="BZ3">
        <v>0</v>
      </c>
      <c r="CA3">
        <v>952</v>
      </c>
      <c r="CB3">
        <v>881</v>
      </c>
      <c r="CC3">
        <v>123</v>
      </c>
      <c r="CD3">
        <v>403</v>
      </c>
      <c r="CE3">
        <v>217</v>
      </c>
      <c r="CF3">
        <v>3</v>
      </c>
      <c r="CG3">
        <v>682</v>
      </c>
      <c r="CH3">
        <v>662</v>
      </c>
      <c r="CI3">
        <v>3</v>
      </c>
      <c r="CJ3">
        <v>0</v>
      </c>
      <c r="CK3">
        <v>2</v>
      </c>
      <c r="CL3">
        <v>7</v>
      </c>
      <c r="CM3">
        <v>2</v>
      </c>
      <c r="CN3">
        <v>1</v>
      </c>
      <c r="CO3">
        <v>8</v>
      </c>
      <c r="CP3">
        <v>1</v>
      </c>
      <c r="CQ3">
        <v>6</v>
      </c>
      <c r="CR3">
        <v>6</v>
      </c>
      <c r="CS3">
        <f t="shared" si="0"/>
        <v>36</v>
      </c>
      <c r="CT3">
        <v>0.375</v>
      </c>
      <c r="CU3">
        <v>0</v>
      </c>
      <c r="CV3">
        <v>0.25</v>
      </c>
      <c r="CW3">
        <v>0.875</v>
      </c>
      <c r="CX3">
        <v>0.23606270251335501</v>
      </c>
      <c r="CY3">
        <v>0.125</v>
      </c>
      <c r="CZ3">
        <v>1</v>
      </c>
      <c r="DA3">
        <v>0.125</v>
      </c>
      <c r="DB3">
        <v>0.75</v>
      </c>
      <c r="DC3">
        <v>0.602448091395412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15">
        <f t="shared" si="1"/>
        <v>4467.9409586891761</v>
      </c>
      <c r="EP3" s="16">
        <v>0</v>
      </c>
      <c r="EQ3" s="16">
        <v>0</v>
      </c>
      <c r="ER3" s="16">
        <v>0</v>
      </c>
      <c r="ES3" s="16">
        <v>0</v>
      </c>
      <c r="ET3" s="16">
        <v>0</v>
      </c>
      <c r="EU3" s="16">
        <v>0</v>
      </c>
    </row>
    <row r="4" spans="1:151" x14ac:dyDescent="0.3">
      <c r="A4" t="s">
        <v>373</v>
      </c>
      <c r="B4">
        <v>111401</v>
      </c>
      <c r="C4">
        <v>35</v>
      </c>
      <c r="D4">
        <v>111397</v>
      </c>
      <c r="E4">
        <v>33</v>
      </c>
      <c r="F4">
        <v>0.99996409367959005</v>
      </c>
      <c r="G4">
        <v>0.94285714285714295</v>
      </c>
      <c r="H4" s="19">
        <v>1</v>
      </c>
      <c r="I4" s="19">
        <v>14101</v>
      </c>
      <c r="J4" s="19" t="s">
        <v>91</v>
      </c>
      <c r="K4" s="19">
        <v>13578</v>
      </c>
      <c r="L4" s="19" t="s">
        <v>92</v>
      </c>
      <c r="M4" s="19" t="s">
        <v>355</v>
      </c>
      <c r="N4" s="19" t="s">
        <v>92</v>
      </c>
      <c r="O4" s="19">
        <v>13578</v>
      </c>
      <c r="P4" s="19" t="s">
        <v>374</v>
      </c>
      <c r="Q4" s="17">
        <v>1</v>
      </c>
      <c r="R4" s="17">
        <v>14101</v>
      </c>
      <c r="S4" s="17" t="s">
        <v>91</v>
      </c>
      <c r="T4" s="17">
        <v>13578</v>
      </c>
      <c r="U4" s="17" t="s">
        <v>92</v>
      </c>
      <c r="V4" s="17" t="s">
        <v>355</v>
      </c>
      <c r="W4" s="17" t="s">
        <v>92</v>
      </c>
      <c r="X4" s="17">
        <v>13578</v>
      </c>
      <c r="Y4" s="17" t="s">
        <v>364</v>
      </c>
      <c r="Z4" s="18">
        <v>1</v>
      </c>
      <c r="AA4" s="18">
        <v>14101</v>
      </c>
      <c r="AB4" s="18" t="s">
        <v>91</v>
      </c>
      <c r="AC4" s="18">
        <v>13578</v>
      </c>
      <c r="AD4" s="18" t="s">
        <v>92</v>
      </c>
      <c r="AE4" s="18" t="s">
        <v>355</v>
      </c>
      <c r="AF4" s="18" t="s">
        <v>92</v>
      </c>
      <c r="AG4" s="18">
        <v>13578</v>
      </c>
      <c r="AH4" s="18" t="s">
        <v>375</v>
      </c>
      <c r="AI4" s="20">
        <v>1</v>
      </c>
      <c r="AJ4" s="20">
        <v>14101</v>
      </c>
      <c r="AK4" s="20" t="s">
        <v>91</v>
      </c>
      <c r="AL4" s="20">
        <v>13578</v>
      </c>
      <c r="AM4" s="20" t="s">
        <v>92</v>
      </c>
      <c r="AN4" s="20" t="s">
        <v>357</v>
      </c>
      <c r="AO4" s="20" t="s">
        <v>94</v>
      </c>
      <c r="AP4" s="20">
        <v>13579</v>
      </c>
      <c r="AQ4" s="20" t="s">
        <v>376</v>
      </c>
      <c r="AR4" t="s">
        <v>377</v>
      </c>
      <c r="AS4">
        <v>5</v>
      </c>
      <c r="AT4" t="s">
        <v>361</v>
      </c>
      <c r="AU4">
        <v>9.5861741100587792E-3</v>
      </c>
      <c r="AV4">
        <v>1.1355108908580699E-2</v>
      </c>
      <c r="AW4">
        <v>3.1665069149664502E-3</v>
      </c>
      <c r="AX4">
        <v>3.3288948069240998E-4</v>
      </c>
      <c r="AY4">
        <v>0.22916498434763</v>
      </c>
      <c r="AZ4">
        <v>2.65672132901109E-2</v>
      </c>
      <c r="BA4">
        <v>0.171175352022996</v>
      </c>
      <c r="BB4">
        <v>1.4150330085747E-4</v>
      </c>
      <c r="BC4">
        <v>1.1802932681626299E-2</v>
      </c>
      <c r="BD4">
        <v>1.09061958899035E-2</v>
      </c>
      <c r="BE4">
        <v>0.25</v>
      </c>
      <c r="BF4">
        <v>0.25</v>
      </c>
      <c r="BG4">
        <v>0.125</v>
      </c>
      <c r="BH4">
        <v>0.125</v>
      </c>
      <c r="BI4">
        <v>1</v>
      </c>
      <c r="BJ4">
        <v>0.375</v>
      </c>
      <c r="BK4">
        <v>1</v>
      </c>
      <c r="BL4">
        <v>0.25</v>
      </c>
      <c r="BM4">
        <v>0.125</v>
      </c>
      <c r="BN4">
        <v>0.625</v>
      </c>
      <c r="BO4">
        <v>2.06989468489472E-2</v>
      </c>
      <c r="BP4">
        <v>2.4960998833175801E-2</v>
      </c>
      <c r="BQ4">
        <v>8.9562340489874898E-3</v>
      </c>
      <c r="BR4">
        <v>9.4155363673308599E-4</v>
      </c>
      <c r="BS4">
        <v>6.3070392675846201E-2</v>
      </c>
      <c r="BT4">
        <v>4.0013308920560701E-2</v>
      </c>
      <c r="BU4">
        <v>4.6166616066989498E-2</v>
      </c>
      <c r="BV4">
        <v>2.9916099411676301E-4</v>
      </c>
      <c r="BW4">
        <v>3.3383734948265097E-2</v>
      </c>
      <c r="BX4">
        <v>1.27232901661582E-2</v>
      </c>
      <c r="BY4">
        <v>1298</v>
      </c>
      <c r="BZ4">
        <v>418</v>
      </c>
      <c r="CA4">
        <v>925</v>
      </c>
      <c r="CB4">
        <v>6</v>
      </c>
      <c r="CC4">
        <v>12132</v>
      </c>
      <c r="CD4">
        <v>10802</v>
      </c>
      <c r="CE4">
        <v>83089</v>
      </c>
      <c r="CF4">
        <v>96</v>
      </c>
      <c r="CG4">
        <v>425</v>
      </c>
      <c r="CH4">
        <v>2206</v>
      </c>
      <c r="CI4">
        <v>2</v>
      </c>
      <c r="CJ4">
        <v>2</v>
      </c>
      <c r="CK4">
        <v>1</v>
      </c>
      <c r="CL4">
        <v>1</v>
      </c>
      <c r="CM4">
        <v>8</v>
      </c>
      <c r="CN4">
        <v>3</v>
      </c>
      <c r="CO4">
        <v>8</v>
      </c>
      <c r="CP4">
        <v>2</v>
      </c>
      <c r="CQ4">
        <v>1</v>
      </c>
      <c r="CR4">
        <v>5</v>
      </c>
      <c r="CS4">
        <f t="shared" si="0"/>
        <v>33</v>
      </c>
      <c r="CT4">
        <v>0.25</v>
      </c>
      <c r="CU4">
        <v>0.25</v>
      </c>
      <c r="CV4">
        <v>0.125</v>
      </c>
      <c r="CW4">
        <v>0.125</v>
      </c>
      <c r="CX4">
        <v>1</v>
      </c>
      <c r="CY4">
        <v>0.375</v>
      </c>
      <c r="CZ4">
        <v>1</v>
      </c>
      <c r="DA4">
        <v>0.25</v>
      </c>
      <c r="DB4">
        <v>0.125</v>
      </c>
      <c r="DC4">
        <v>0.53798168464955998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15">
        <f t="shared" si="1"/>
        <v>111471.88839478274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</row>
    <row r="5" spans="1:151" x14ac:dyDescent="0.3">
      <c r="A5" t="s">
        <v>378</v>
      </c>
      <c r="B5">
        <v>136639</v>
      </c>
      <c r="C5">
        <v>83</v>
      </c>
      <c r="D5">
        <v>136639</v>
      </c>
      <c r="E5">
        <v>83</v>
      </c>
      <c r="F5">
        <v>1</v>
      </c>
      <c r="G5">
        <v>1</v>
      </c>
      <c r="H5" s="19">
        <v>1</v>
      </c>
      <c r="I5" s="19">
        <v>4210</v>
      </c>
      <c r="J5" s="19" t="s">
        <v>99</v>
      </c>
      <c r="K5" s="19" t="s">
        <v>366</v>
      </c>
      <c r="L5" s="19" t="s">
        <v>366</v>
      </c>
      <c r="M5" s="19" t="s">
        <v>379</v>
      </c>
      <c r="N5" s="19" t="s">
        <v>99</v>
      </c>
      <c r="O5" s="19">
        <v>4210</v>
      </c>
      <c r="P5" s="19" t="s">
        <v>364</v>
      </c>
      <c r="Q5" s="17">
        <v>1</v>
      </c>
      <c r="R5" s="17">
        <v>4210</v>
      </c>
      <c r="S5" s="17" t="s">
        <v>99</v>
      </c>
      <c r="T5" s="17" t="s">
        <v>366</v>
      </c>
      <c r="U5" s="17" t="s">
        <v>366</v>
      </c>
      <c r="V5" s="17" t="s">
        <v>379</v>
      </c>
      <c r="W5" s="17" t="s">
        <v>99</v>
      </c>
      <c r="X5" s="17">
        <v>4210</v>
      </c>
      <c r="Y5" s="17" t="s">
        <v>364</v>
      </c>
      <c r="Z5" s="18">
        <v>1</v>
      </c>
      <c r="AA5" s="18">
        <v>4210</v>
      </c>
      <c r="AB5" s="18" t="s">
        <v>99</v>
      </c>
      <c r="AC5" s="18" t="s">
        <v>366</v>
      </c>
      <c r="AD5" s="18" t="s">
        <v>366</v>
      </c>
      <c r="AE5" s="18" t="s">
        <v>379</v>
      </c>
      <c r="AF5" s="18" t="s">
        <v>99</v>
      </c>
      <c r="AG5" s="18">
        <v>4210</v>
      </c>
      <c r="AH5" s="18" t="s">
        <v>364</v>
      </c>
      <c r="AI5" s="20">
        <v>1</v>
      </c>
      <c r="AJ5" s="20">
        <v>4210</v>
      </c>
      <c r="AK5" s="20" t="s">
        <v>99</v>
      </c>
      <c r="AL5" s="20" t="s">
        <v>366</v>
      </c>
      <c r="AM5" s="20" t="s">
        <v>366</v>
      </c>
      <c r="AN5" s="20" t="s">
        <v>379</v>
      </c>
      <c r="AO5" s="20" t="s">
        <v>99</v>
      </c>
      <c r="AP5" s="20">
        <v>4210</v>
      </c>
      <c r="AQ5" s="20" t="s">
        <v>364</v>
      </c>
      <c r="AR5" t="s">
        <v>380</v>
      </c>
      <c r="AS5">
        <v>6</v>
      </c>
      <c r="AT5" t="s">
        <v>381</v>
      </c>
      <c r="AU5">
        <v>0</v>
      </c>
      <c r="AV5">
        <v>1.30232800918676E-2</v>
      </c>
      <c r="AW5">
        <v>5.7026777232933703E-3</v>
      </c>
      <c r="AX5">
        <v>7.2147005006590506E-2</v>
      </c>
      <c r="AY5">
        <v>0.25983243528240102</v>
      </c>
      <c r="AZ5">
        <v>0</v>
      </c>
      <c r="BA5">
        <v>0</v>
      </c>
      <c r="BB5">
        <v>1.09515203268925E-3</v>
      </c>
      <c r="BC5">
        <v>0</v>
      </c>
      <c r="BD5">
        <v>1.27920870950611E-2</v>
      </c>
      <c r="BE5">
        <v>0</v>
      </c>
      <c r="BF5">
        <v>0.125</v>
      </c>
      <c r="BG5">
        <v>0.125</v>
      </c>
      <c r="BH5">
        <v>0.875</v>
      </c>
      <c r="BI5">
        <v>1</v>
      </c>
      <c r="BJ5">
        <v>0</v>
      </c>
      <c r="BK5">
        <v>0</v>
      </c>
      <c r="BL5">
        <v>0.5</v>
      </c>
      <c r="BM5">
        <v>0</v>
      </c>
      <c r="BN5">
        <v>0.25</v>
      </c>
      <c r="BO5">
        <v>0</v>
      </c>
      <c r="BP5">
        <v>3.68353986650055E-2</v>
      </c>
      <c r="BQ5">
        <v>1.6129608356248801E-2</v>
      </c>
      <c r="BR5">
        <v>3.6921699089647403E-2</v>
      </c>
      <c r="BS5">
        <v>7.7441149448394794E-2</v>
      </c>
      <c r="BT5">
        <v>0</v>
      </c>
      <c r="BU5">
        <v>0</v>
      </c>
      <c r="BV5">
        <v>1.3324752909887E-3</v>
      </c>
      <c r="BW5">
        <v>0</v>
      </c>
      <c r="BX5">
        <v>2.4099354136092301E-2</v>
      </c>
      <c r="BY5">
        <v>0</v>
      </c>
      <c r="BZ5">
        <v>1996</v>
      </c>
      <c r="CA5">
        <v>5331</v>
      </c>
      <c r="CB5">
        <v>7556</v>
      </c>
      <c r="CC5">
        <v>16588</v>
      </c>
      <c r="CD5">
        <v>0</v>
      </c>
      <c r="CE5">
        <v>0</v>
      </c>
      <c r="CF5">
        <v>273</v>
      </c>
      <c r="CG5">
        <v>0</v>
      </c>
      <c r="CH5">
        <v>56</v>
      </c>
      <c r="CI5">
        <v>0</v>
      </c>
      <c r="CJ5">
        <v>1</v>
      </c>
      <c r="CK5">
        <v>1</v>
      </c>
      <c r="CL5">
        <v>7</v>
      </c>
      <c r="CM5">
        <v>8</v>
      </c>
      <c r="CN5">
        <v>0</v>
      </c>
      <c r="CO5">
        <v>0</v>
      </c>
      <c r="CP5">
        <v>4</v>
      </c>
      <c r="CQ5">
        <v>0</v>
      </c>
      <c r="CR5">
        <v>2</v>
      </c>
      <c r="CS5">
        <f t="shared" si="0"/>
        <v>23</v>
      </c>
      <c r="CT5">
        <v>0</v>
      </c>
      <c r="CU5">
        <v>0.125</v>
      </c>
      <c r="CV5">
        <v>0.125</v>
      </c>
      <c r="CW5">
        <v>0.875</v>
      </c>
      <c r="CX5">
        <v>1</v>
      </c>
      <c r="CY5">
        <v>0</v>
      </c>
      <c r="CZ5">
        <v>0</v>
      </c>
      <c r="DA5">
        <v>0.5</v>
      </c>
      <c r="DB5">
        <v>0</v>
      </c>
      <c r="DC5">
        <v>6.6370477831172404E-3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15">
        <f t="shared" si="1"/>
        <v>31852.063989370003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</row>
    <row r="6" spans="1:151" x14ac:dyDescent="0.3">
      <c r="A6" t="s">
        <v>382</v>
      </c>
      <c r="B6">
        <v>47592</v>
      </c>
      <c r="C6">
        <v>26</v>
      </c>
      <c r="D6">
        <v>47587</v>
      </c>
      <c r="E6">
        <v>23</v>
      </c>
      <c r="F6">
        <v>0.99989494032610504</v>
      </c>
      <c r="G6">
        <v>0.88461538461538503</v>
      </c>
      <c r="H6" s="19">
        <v>1</v>
      </c>
      <c r="I6" s="19">
        <v>4479</v>
      </c>
      <c r="J6" s="19" t="s">
        <v>100</v>
      </c>
      <c r="K6" s="19">
        <v>38688</v>
      </c>
      <c r="L6" s="19" t="s">
        <v>383</v>
      </c>
      <c r="M6" s="19" t="s">
        <v>357</v>
      </c>
      <c r="N6" s="19" t="s">
        <v>384</v>
      </c>
      <c r="O6" s="19">
        <v>38689</v>
      </c>
      <c r="P6" s="19" t="s">
        <v>385</v>
      </c>
      <c r="Q6" s="17">
        <v>1</v>
      </c>
      <c r="R6" s="17">
        <v>4479</v>
      </c>
      <c r="S6" s="17" t="s">
        <v>100</v>
      </c>
      <c r="T6" s="17" t="s">
        <v>366</v>
      </c>
      <c r="U6" s="17" t="s">
        <v>366</v>
      </c>
      <c r="V6" s="17" t="s">
        <v>386</v>
      </c>
      <c r="W6" s="17" t="s">
        <v>387</v>
      </c>
      <c r="X6" s="17">
        <v>147370</v>
      </c>
      <c r="Y6" s="17" t="s">
        <v>364</v>
      </c>
      <c r="Z6" s="18">
        <v>1</v>
      </c>
      <c r="AA6" s="18">
        <v>4479</v>
      </c>
      <c r="AB6" s="18" t="s">
        <v>100</v>
      </c>
      <c r="AC6" s="18" t="s">
        <v>366</v>
      </c>
      <c r="AD6" s="18" t="s">
        <v>366</v>
      </c>
      <c r="AE6" s="18" t="s">
        <v>386</v>
      </c>
      <c r="AF6" s="18" t="s">
        <v>387</v>
      </c>
      <c r="AG6" s="18">
        <v>147370</v>
      </c>
      <c r="AH6" s="18" t="s">
        <v>364</v>
      </c>
      <c r="AI6" s="20">
        <v>1</v>
      </c>
      <c r="AJ6" s="20">
        <v>4479</v>
      </c>
      <c r="AK6" s="20" t="s">
        <v>100</v>
      </c>
      <c r="AL6" s="20">
        <v>38688</v>
      </c>
      <c r="AM6" s="20" t="s">
        <v>383</v>
      </c>
      <c r="AN6" s="20" t="s">
        <v>357</v>
      </c>
      <c r="AO6" s="20" t="s">
        <v>384</v>
      </c>
      <c r="AP6" s="20">
        <v>38689</v>
      </c>
      <c r="AQ6" s="20" t="s">
        <v>385</v>
      </c>
      <c r="AR6" t="s">
        <v>388</v>
      </c>
      <c r="AS6">
        <v>6</v>
      </c>
      <c r="AT6" t="s">
        <v>361</v>
      </c>
      <c r="AU6">
        <v>0</v>
      </c>
      <c r="AV6">
        <v>2.97820342678622E-2</v>
      </c>
      <c r="AW6">
        <v>0</v>
      </c>
      <c r="AX6">
        <v>0</v>
      </c>
      <c r="AY6">
        <v>0</v>
      </c>
      <c r="AZ6">
        <v>7.8423908610657997E-2</v>
      </c>
      <c r="BA6">
        <v>9.6403487055435402E-3</v>
      </c>
      <c r="BB6">
        <v>4.0234798623253899E-3</v>
      </c>
      <c r="BC6">
        <v>0</v>
      </c>
      <c r="BD6">
        <v>1.22767857142857E-2</v>
      </c>
      <c r="BE6">
        <v>0</v>
      </c>
      <c r="BF6">
        <v>0.25</v>
      </c>
      <c r="BG6">
        <v>0</v>
      </c>
      <c r="BH6">
        <v>0</v>
      </c>
      <c r="BI6">
        <v>0</v>
      </c>
      <c r="BJ6">
        <v>0.5</v>
      </c>
      <c r="BK6">
        <v>1</v>
      </c>
      <c r="BL6">
        <v>0.875</v>
      </c>
      <c r="BM6">
        <v>0</v>
      </c>
      <c r="BN6">
        <v>0.125</v>
      </c>
      <c r="BO6">
        <v>0</v>
      </c>
      <c r="BP6">
        <v>6.3580036972537099E-2</v>
      </c>
      <c r="BQ6">
        <v>0</v>
      </c>
      <c r="BR6">
        <v>0</v>
      </c>
      <c r="BS6">
        <v>0</v>
      </c>
      <c r="BT6">
        <v>0.11929406280153</v>
      </c>
      <c r="BU6">
        <v>3.2241957739748699E-3</v>
      </c>
      <c r="BV6">
        <v>2.6569325032615998E-3</v>
      </c>
      <c r="BW6">
        <v>0</v>
      </c>
      <c r="BX6">
        <v>3.4723993718982202E-2</v>
      </c>
      <c r="BY6">
        <v>0</v>
      </c>
      <c r="BZ6">
        <v>7994</v>
      </c>
      <c r="CA6">
        <v>0</v>
      </c>
      <c r="CB6">
        <v>0</v>
      </c>
      <c r="CC6">
        <v>0</v>
      </c>
      <c r="CD6">
        <v>34230</v>
      </c>
      <c r="CE6">
        <v>4594</v>
      </c>
      <c r="CF6">
        <v>696</v>
      </c>
      <c r="CG6">
        <v>0</v>
      </c>
      <c r="CH6">
        <v>55</v>
      </c>
      <c r="CI6">
        <v>0</v>
      </c>
      <c r="CJ6">
        <v>2</v>
      </c>
      <c r="CK6">
        <v>0</v>
      </c>
      <c r="CL6">
        <v>0</v>
      </c>
      <c r="CM6">
        <v>0</v>
      </c>
      <c r="CN6">
        <v>4</v>
      </c>
      <c r="CO6">
        <v>8</v>
      </c>
      <c r="CP6">
        <v>7</v>
      </c>
      <c r="CQ6">
        <v>0</v>
      </c>
      <c r="CR6">
        <v>1</v>
      </c>
      <c r="CS6">
        <f t="shared" si="0"/>
        <v>22</v>
      </c>
      <c r="CT6">
        <v>0</v>
      </c>
      <c r="CU6">
        <v>0.25</v>
      </c>
      <c r="CV6">
        <v>0</v>
      </c>
      <c r="CW6">
        <v>0</v>
      </c>
      <c r="CX6">
        <v>0</v>
      </c>
      <c r="CY6">
        <v>0.5</v>
      </c>
      <c r="CZ6">
        <v>1</v>
      </c>
      <c r="DA6">
        <v>0.875</v>
      </c>
      <c r="DB6">
        <v>0</v>
      </c>
      <c r="DC6">
        <v>3.3850152627920298E-3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15">
        <f t="shared" si="1"/>
        <v>47618.736010794193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</row>
    <row r="7" spans="1:151" x14ac:dyDescent="0.3">
      <c r="A7" t="s">
        <v>389</v>
      </c>
      <c r="B7">
        <v>1499</v>
      </c>
      <c r="C7">
        <v>18</v>
      </c>
      <c r="D7">
        <v>1497</v>
      </c>
      <c r="E7">
        <v>17</v>
      </c>
      <c r="F7">
        <v>0.99866577718478999</v>
      </c>
      <c r="G7">
        <v>0.94444444444444398</v>
      </c>
      <c r="H7" s="19">
        <v>1</v>
      </c>
      <c r="I7" s="19">
        <v>4609</v>
      </c>
      <c r="J7" s="19" t="s">
        <v>95</v>
      </c>
      <c r="K7" s="19">
        <v>13398</v>
      </c>
      <c r="L7" s="19" t="s">
        <v>97</v>
      </c>
      <c r="M7" s="19" t="s">
        <v>355</v>
      </c>
      <c r="N7" s="19" t="s">
        <v>97</v>
      </c>
      <c r="O7" s="19">
        <v>13398</v>
      </c>
      <c r="P7" s="19" t="s">
        <v>390</v>
      </c>
      <c r="Q7" s="17">
        <v>1</v>
      </c>
      <c r="R7" s="17">
        <v>4609</v>
      </c>
      <c r="S7" s="17" t="s">
        <v>95</v>
      </c>
      <c r="T7" s="17">
        <v>13398</v>
      </c>
      <c r="U7" s="17" t="s">
        <v>97</v>
      </c>
      <c r="V7" s="17" t="s">
        <v>355</v>
      </c>
      <c r="W7" s="17" t="s">
        <v>97</v>
      </c>
      <c r="X7" s="17">
        <v>13398</v>
      </c>
      <c r="Y7" s="17" t="s">
        <v>364</v>
      </c>
      <c r="Z7" s="18">
        <v>1</v>
      </c>
      <c r="AA7" s="18">
        <v>4609</v>
      </c>
      <c r="AB7" s="18" t="s">
        <v>95</v>
      </c>
      <c r="AC7" s="18">
        <v>13398</v>
      </c>
      <c r="AD7" s="18" t="s">
        <v>97</v>
      </c>
      <c r="AE7" s="18" t="s">
        <v>355</v>
      </c>
      <c r="AF7" s="18" t="s">
        <v>97</v>
      </c>
      <c r="AG7" s="18">
        <v>13398</v>
      </c>
      <c r="AH7" s="18" t="s">
        <v>391</v>
      </c>
      <c r="AI7" s="20">
        <v>1</v>
      </c>
      <c r="AJ7" s="20">
        <v>4609</v>
      </c>
      <c r="AK7" s="20" t="s">
        <v>95</v>
      </c>
      <c r="AL7" s="20">
        <v>13398</v>
      </c>
      <c r="AM7" s="20" t="s">
        <v>97</v>
      </c>
      <c r="AN7" s="20" t="s">
        <v>355</v>
      </c>
      <c r="AO7" s="20" t="s">
        <v>97</v>
      </c>
      <c r="AP7" s="20">
        <v>13398</v>
      </c>
      <c r="AQ7" s="20" t="s">
        <v>392</v>
      </c>
      <c r="AR7" t="s">
        <v>393</v>
      </c>
      <c r="AS7">
        <v>5</v>
      </c>
      <c r="AT7" t="s">
        <v>361</v>
      </c>
      <c r="AU7">
        <v>0</v>
      </c>
      <c r="AV7">
        <v>0</v>
      </c>
      <c r="AW7">
        <v>0</v>
      </c>
      <c r="AX7">
        <v>1.2401458679680399E-3</v>
      </c>
      <c r="AY7">
        <v>1.13380143815112E-2</v>
      </c>
      <c r="AZ7">
        <v>5.2453815055524303E-4</v>
      </c>
      <c r="BA7" s="21" t="s">
        <v>394</v>
      </c>
      <c r="BB7">
        <v>3.1332335255420697E-4</v>
      </c>
      <c r="BC7">
        <v>1.5465793304221299E-3</v>
      </c>
      <c r="BD7">
        <v>4.8876774782542201E-3</v>
      </c>
      <c r="BE7">
        <v>0</v>
      </c>
      <c r="BF7">
        <v>0</v>
      </c>
      <c r="BG7">
        <v>0</v>
      </c>
      <c r="BH7">
        <v>0.125</v>
      </c>
      <c r="BI7">
        <v>0.75</v>
      </c>
      <c r="BJ7">
        <v>0.125</v>
      </c>
      <c r="BK7">
        <v>0.125</v>
      </c>
      <c r="BL7">
        <v>0.5</v>
      </c>
      <c r="BM7">
        <v>0.125</v>
      </c>
      <c r="BN7">
        <v>0.375</v>
      </c>
      <c r="BO7">
        <v>0</v>
      </c>
      <c r="BP7">
        <v>0</v>
      </c>
      <c r="BQ7">
        <v>0</v>
      </c>
      <c r="BR7">
        <v>3.5076622116027101E-3</v>
      </c>
      <c r="BS7">
        <v>1.3093653766150499E-2</v>
      </c>
      <c r="BT7">
        <v>1.4836179329946501E-3</v>
      </c>
      <c r="BU7">
        <v>1.05089733553272E-4</v>
      </c>
      <c r="BV7">
        <v>4.7484225641477998E-4</v>
      </c>
      <c r="BW7">
        <v>4.3743869287377404E-3</v>
      </c>
      <c r="BX7">
        <v>7.9128150438205307E-3</v>
      </c>
      <c r="BY7">
        <v>0</v>
      </c>
      <c r="BZ7">
        <v>0</v>
      </c>
      <c r="CA7">
        <v>0</v>
      </c>
      <c r="CB7">
        <v>370</v>
      </c>
      <c r="CC7">
        <v>571</v>
      </c>
      <c r="CD7">
        <v>246</v>
      </c>
      <c r="CE7">
        <v>10</v>
      </c>
      <c r="CF7">
        <v>47</v>
      </c>
      <c r="CG7">
        <v>17</v>
      </c>
      <c r="CH7">
        <v>236</v>
      </c>
      <c r="CI7">
        <v>0</v>
      </c>
      <c r="CJ7">
        <v>0</v>
      </c>
      <c r="CK7">
        <v>0</v>
      </c>
      <c r="CL7">
        <v>1</v>
      </c>
      <c r="CM7">
        <v>6</v>
      </c>
      <c r="CN7">
        <v>1</v>
      </c>
      <c r="CO7">
        <v>1</v>
      </c>
      <c r="CP7">
        <v>4</v>
      </c>
      <c r="CQ7">
        <v>1</v>
      </c>
      <c r="CR7">
        <v>3</v>
      </c>
      <c r="CS7">
        <f t="shared" si="0"/>
        <v>17</v>
      </c>
      <c r="CT7">
        <v>0</v>
      </c>
      <c r="CU7">
        <v>0</v>
      </c>
      <c r="CV7">
        <v>0</v>
      </c>
      <c r="CW7">
        <v>0.125</v>
      </c>
      <c r="CX7">
        <v>0.87895612575532001</v>
      </c>
      <c r="CY7">
        <v>0.125</v>
      </c>
      <c r="CZ7">
        <v>0.125</v>
      </c>
      <c r="DA7">
        <v>0.5</v>
      </c>
      <c r="DB7">
        <v>0.125</v>
      </c>
      <c r="DC7">
        <v>7.1611206818387896E-2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15">
        <f t="shared" si="1"/>
        <v>1535.1263696790083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</row>
    <row r="8" spans="1:151" x14ac:dyDescent="0.3">
      <c r="A8" t="s">
        <v>395</v>
      </c>
      <c r="B8">
        <v>38719</v>
      </c>
      <c r="C8">
        <v>12</v>
      </c>
      <c r="D8">
        <v>38719</v>
      </c>
      <c r="E8">
        <v>12</v>
      </c>
      <c r="F8">
        <v>1</v>
      </c>
      <c r="G8">
        <v>1</v>
      </c>
      <c r="H8" s="19">
        <v>1</v>
      </c>
      <c r="I8" s="19">
        <v>3745</v>
      </c>
      <c r="J8" s="19" t="s">
        <v>101</v>
      </c>
      <c r="K8" s="19">
        <v>23204</v>
      </c>
      <c r="L8" s="19" t="s">
        <v>106</v>
      </c>
      <c r="M8" s="19" t="s">
        <v>357</v>
      </c>
      <c r="N8" s="19" t="s">
        <v>107</v>
      </c>
      <c r="O8" s="19">
        <v>57940</v>
      </c>
      <c r="P8" s="19" t="s">
        <v>396</v>
      </c>
      <c r="Q8" s="17">
        <v>1</v>
      </c>
      <c r="R8" s="17">
        <v>3745</v>
      </c>
      <c r="S8" s="17" t="s">
        <v>101</v>
      </c>
      <c r="T8" s="17" t="s">
        <v>366</v>
      </c>
      <c r="U8" s="17" t="s">
        <v>366</v>
      </c>
      <c r="V8" s="17" t="s">
        <v>379</v>
      </c>
      <c r="W8" s="17" t="s">
        <v>101</v>
      </c>
      <c r="X8" s="17">
        <v>3745</v>
      </c>
      <c r="Y8" s="17" t="s">
        <v>364</v>
      </c>
      <c r="Z8" s="18">
        <v>1</v>
      </c>
      <c r="AA8" s="18">
        <v>3745</v>
      </c>
      <c r="AB8" s="18" t="s">
        <v>101</v>
      </c>
      <c r="AC8" s="18">
        <v>23204</v>
      </c>
      <c r="AD8" s="18" t="s">
        <v>106</v>
      </c>
      <c r="AE8" s="18" t="s">
        <v>355</v>
      </c>
      <c r="AF8" s="18" t="s">
        <v>106</v>
      </c>
      <c r="AG8" s="18">
        <v>23204</v>
      </c>
      <c r="AH8" s="18" t="s">
        <v>397</v>
      </c>
      <c r="AI8" s="20">
        <v>1</v>
      </c>
      <c r="AJ8" s="20">
        <v>3745</v>
      </c>
      <c r="AK8" s="20" t="s">
        <v>101</v>
      </c>
      <c r="AL8" s="20">
        <v>23204</v>
      </c>
      <c r="AM8" s="20" t="s">
        <v>106</v>
      </c>
      <c r="AN8" s="20" t="s">
        <v>357</v>
      </c>
      <c r="AO8" s="20" t="s">
        <v>107</v>
      </c>
      <c r="AP8" s="20">
        <v>57940</v>
      </c>
      <c r="AQ8" s="20" t="s">
        <v>396</v>
      </c>
      <c r="AR8" t="s">
        <v>398</v>
      </c>
      <c r="AS8" t="s">
        <v>366</v>
      </c>
      <c r="AT8" t="s">
        <v>366</v>
      </c>
      <c r="AU8">
        <v>0</v>
      </c>
      <c r="AV8">
        <v>9.2825152817284998E-3</v>
      </c>
      <c r="AW8">
        <v>0</v>
      </c>
      <c r="AX8">
        <v>8.48346811342E-3</v>
      </c>
      <c r="AY8">
        <v>2.2701793721973101E-3</v>
      </c>
      <c r="AZ8">
        <v>6.3105972748960903E-2</v>
      </c>
      <c r="BA8">
        <v>2.3579252342292601E-4</v>
      </c>
      <c r="BB8">
        <v>0</v>
      </c>
      <c r="BC8">
        <v>2.1058067477622198E-2</v>
      </c>
      <c r="BD8">
        <v>1.9049928619017401E-2</v>
      </c>
      <c r="BE8">
        <v>0</v>
      </c>
      <c r="BF8">
        <v>0.125</v>
      </c>
      <c r="BG8">
        <v>0</v>
      </c>
      <c r="BH8">
        <v>0.125</v>
      </c>
      <c r="BI8">
        <v>0.125</v>
      </c>
      <c r="BJ8">
        <v>0.5</v>
      </c>
      <c r="BK8">
        <v>0.125</v>
      </c>
      <c r="BL8">
        <v>0</v>
      </c>
      <c r="BM8">
        <v>0.125</v>
      </c>
      <c r="BN8">
        <v>0.375</v>
      </c>
      <c r="BO8">
        <v>0</v>
      </c>
      <c r="BP8">
        <v>2.6254918008711901E-2</v>
      </c>
      <c r="BQ8">
        <v>0</v>
      </c>
      <c r="BR8">
        <v>2.3994871323916499E-2</v>
      </c>
      <c r="BS8">
        <v>6.42103691436215E-3</v>
      </c>
      <c r="BT8">
        <v>8.8628956941147002E-2</v>
      </c>
      <c r="BU8">
        <v>6.66921969061755E-4</v>
      </c>
      <c r="BV8">
        <v>0</v>
      </c>
      <c r="BW8">
        <v>5.9561209248442298E-2</v>
      </c>
      <c r="BX8">
        <v>3.3057895939696998E-2</v>
      </c>
      <c r="BY8">
        <v>0</v>
      </c>
      <c r="BZ8">
        <v>1227</v>
      </c>
      <c r="CA8">
        <v>0</v>
      </c>
      <c r="CB8">
        <v>1326</v>
      </c>
      <c r="CC8">
        <v>81</v>
      </c>
      <c r="CD8">
        <v>34658</v>
      </c>
      <c r="CE8">
        <v>181</v>
      </c>
      <c r="CF8">
        <v>0</v>
      </c>
      <c r="CG8">
        <v>734</v>
      </c>
      <c r="CH8">
        <v>512</v>
      </c>
      <c r="CI8">
        <v>0</v>
      </c>
      <c r="CJ8">
        <v>1</v>
      </c>
      <c r="CK8">
        <v>0</v>
      </c>
      <c r="CL8">
        <v>1</v>
      </c>
      <c r="CM8">
        <v>1</v>
      </c>
      <c r="CN8">
        <v>4</v>
      </c>
      <c r="CO8">
        <v>1</v>
      </c>
      <c r="CP8">
        <v>0</v>
      </c>
      <c r="CQ8">
        <v>1</v>
      </c>
      <c r="CR8">
        <v>3</v>
      </c>
      <c r="CS8">
        <f t="shared" si="0"/>
        <v>12</v>
      </c>
      <c r="CT8">
        <v>0</v>
      </c>
      <c r="CU8">
        <v>0.125</v>
      </c>
      <c r="CV8">
        <v>0</v>
      </c>
      <c r="CW8">
        <v>0.125</v>
      </c>
      <c r="CX8">
        <v>7.8115421665645002E-2</v>
      </c>
      <c r="CY8">
        <v>0.5</v>
      </c>
      <c r="CZ8">
        <v>0.125</v>
      </c>
      <c r="DA8">
        <v>0</v>
      </c>
      <c r="DB8">
        <v>0.125</v>
      </c>
      <c r="DC8">
        <v>6.8341040287726307E-2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15">
        <f t="shared" si="1"/>
        <v>38746.008528196435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</row>
    <row r="9" spans="1:151" x14ac:dyDescent="0.3">
      <c r="A9" t="s">
        <v>399</v>
      </c>
      <c r="B9">
        <v>20650</v>
      </c>
      <c r="C9">
        <v>11</v>
      </c>
      <c r="D9">
        <v>20650</v>
      </c>
      <c r="E9">
        <v>11</v>
      </c>
      <c r="F9">
        <v>1</v>
      </c>
      <c r="G9">
        <v>1</v>
      </c>
      <c r="H9" s="19">
        <v>1</v>
      </c>
      <c r="I9" s="19">
        <v>3803</v>
      </c>
      <c r="J9" s="19" t="s">
        <v>102</v>
      </c>
      <c r="K9" s="19">
        <v>3898</v>
      </c>
      <c r="L9" s="19" t="s">
        <v>108</v>
      </c>
      <c r="M9" s="19" t="s">
        <v>357</v>
      </c>
      <c r="N9" s="19" t="s">
        <v>109</v>
      </c>
      <c r="O9" s="19">
        <v>3899</v>
      </c>
      <c r="P9" s="19" t="s">
        <v>400</v>
      </c>
      <c r="Q9" s="17">
        <v>1</v>
      </c>
      <c r="R9" s="17">
        <v>3803</v>
      </c>
      <c r="S9" s="17" t="s">
        <v>102</v>
      </c>
      <c r="T9" s="17">
        <v>3898</v>
      </c>
      <c r="U9" s="17" t="s">
        <v>108</v>
      </c>
      <c r="V9" s="17" t="s">
        <v>355</v>
      </c>
      <c r="W9" s="17" t="s">
        <v>108</v>
      </c>
      <c r="X9" s="17">
        <v>3898</v>
      </c>
      <c r="Y9" s="17" t="s">
        <v>364</v>
      </c>
      <c r="Z9" s="18">
        <v>1</v>
      </c>
      <c r="AA9" s="18">
        <v>3803</v>
      </c>
      <c r="AB9" s="18" t="s">
        <v>102</v>
      </c>
      <c r="AC9" s="18">
        <v>3898</v>
      </c>
      <c r="AD9" s="18" t="s">
        <v>108</v>
      </c>
      <c r="AE9" s="18" t="s">
        <v>355</v>
      </c>
      <c r="AF9" s="18" t="s">
        <v>108</v>
      </c>
      <c r="AG9" s="18">
        <v>3898</v>
      </c>
      <c r="AH9" s="18" t="s">
        <v>401</v>
      </c>
      <c r="AI9" s="20">
        <v>1</v>
      </c>
      <c r="AJ9" s="20">
        <v>3803</v>
      </c>
      <c r="AK9" s="20" t="s">
        <v>102</v>
      </c>
      <c r="AL9" s="20">
        <v>3898</v>
      </c>
      <c r="AM9" s="20" t="s">
        <v>108</v>
      </c>
      <c r="AN9" s="20" t="s">
        <v>355</v>
      </c>
      <c r="AO9" s="20" t="s">
        <v>108</v>
      </c>
      <c r="AP9" s="20">
        <v>3898</v>
      </c>
      <c r="AQ9" s="20" t="s">
        <v>402</v>
      </c>
      <c r="AR9" t="s">
        <v>403</v>
      </c>
      <c r="AS9">
        <v>6</v>
      </c>
      <c r="AT9" t="s">
        <v>381</v>
      </c>
      <c r="AU9">
        <v>0</v>
      </c>
      <c r="AV9">
        <v>2.96556696038313E-2</v>
      </c>
      <c r="AW9">
        <v>0</v>
      </c>
      <c r="AX9">
        <v>0</v>
      </c>
      <c r="AY9">
        <v>5.59251455757305E-3</v>
      </c>
      <c r="AZ9">
        <v>2.68644559302663E-2</v>
      </c>
      <c r="BA9">
        <v>0</v>
      </c>
      <c r="BB9">
        <v>0</v>
      </c>
      <c r="BC9">
        <v>5.3524986067248703E-2</v>
      </c>
      <c r="BD9">
        <v>2.7842789581737401E-2</v>
      </c>
      <c r="BE9">
        <v>0</v>
      </c>
      <c r="BF9">
        <v>0.375</v>
      </c>
      <c r="BG9">
        <v>0</v>
      </c>
      <c r="BH9">
        <v>0</v>
      </c>
      <c r="BI9">
        <v>0.25</v>
      </c>
      <c r="BJ9">
        <v>0.125</v>
      </c>
      <c r="BK9">
        <v>0</v>
      </c>
      <c r="BL9">
        <v>0</v>
      </c>
      <c r="BM9">
        <v>0.125</v>
      </c>
      <c r="BN9">
        <v>0.5</v>
      </c>
      <c r="BO9">
        <v>0</v>
      </c>
      <c r="BP9">
        <v>4.6773031061272403E-2</v>
      </c>
      <c r="BQ9">
        <v>0</v>
      </c>
      <c r="BR9">
        <v>0</v>
      </c>
      <c r="BS9">
        <v>1.0692546096566301E-2</v>
      </c>
      <c r="BT9">
        <v>7.5984155844713797E-2</v>
      </c>
      <c r="BU9">
        <v>0</v>
      </c>
      <c r="BV9">
        <v>0</v>
      </c>
      <c r="BW9">
        <v>0.15139152244426801</v>
      </c>
      <c r="BX9">
        <v>3.86561503218135E-2</v>
      </c>
      <c r="BY9">
        <v>0</v>
      </c>
      <c r="BZ9">
        <v>2374</v>
      </c>
      <c r="CA9">
        <v>0</v>
      </c>
      <c r="CB9">
        <v>0</v>
      </c>
      <c r="CC9">
        <v>566</v>
      </c>
      <c r="CD9">
        <v>12599</v>
      </c>
      <c r="CE9">
        <v>0</v>
      </c>
      <c r="CF9">
        <v>0</v>
      </c>
      <c r="CG9">
        <v>2305</v>
      </c>
      <c r="CH9">
        <v>2806</v>
      </c>
      <c r="CI9">
        <v>0</v>
      </c>
      <c r="CJ9">
        <v>3</v>
      </c>
      <c r="CK9">
        <v>0</v>
      </c>
      <c r="CL9">
        <v>0</v>
      </c>
      <c r="CM9">
        <v>2</v>
      </c>
      <c r="CN9">
        <v>1</v>
      </c>
      <c r="CO9">
        <v>0</v>
      </c>
      <c r="CP9">
        <v>0</v>
      </c>
      <c r="CQ9">
        <v>1</v>
      </c>
      <c r="CR9">
        <v>4</v>
      </c>
      <c r="CS9">
        <f t="shared" si="0"/>
        <v>11</v>
      </c>
      <c r="CT9">
        <v>0</v>
      </c>
      <c r="CU9">
        <v>0.375</v>
      </c>
      <c r="CV9">
        <v>0</v>
      </c>
      <c r="CW9">
        <v>0</v>
      </c>
      <c r="CX9">
        <v>0.52540502670986999</v>
      </c>
      <c r="CY9">
        <v>0.125</v>
      </c>
      <c r="CZ9">
        <v>0</v>
      </c>
      <c r="DA9">
        <v>0</v>
      </c>
      <c r="DB9">
        <v>0.125</v>
      </c>
      <c r="DC9">
        <v>0.53472965212923496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15">
        <f t="shared" si="1"/>
        <v>20675.527112500349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</row>
    <row r="10" spans="1:151" x14ac:dyDescent="0.3">
      <c r="A10" t="s">
        <v>404</v>
      </c>
      <c r="B10">
        <v>1968</v>
      </c>
      <c r="C10">
        <v>44</v>
      </c>
      <c r="D10">
        <v>1956</v>
      </c>
      <c r="E10">
        <v>35</v>
      </c>
      <c r="F10">
        <v>0.99390243902439002</v>
      </c>
      <c r="G10">
        <v>0.79545454545454497</v>
      </c>
      <c r="H10" s="19">
        <v>1</v>
      </c>
      <c r="I10" s="19">
        <v>4609</v>
      </c>
      <c r="J10" s="19" t="s">
        <v>95</v>
      </c>
      <c r="K10" s="19">
        <v>13398</v>
      </c>
      <c r="L10" s="19" t="s">
        <v>97</v>
      </c>
      <c r="M10" s="19" t="s">
        <v>355</v>
      </c>
      <c r="N10" s="19" t="s">
        <v>97</v>
      </c>
      <c r="O10" s="19">
        <v>13398</v>
      </c>
      <c r="P10" s="19" t="s">
        <v>364</v>
      </c>
      <c r="Q10" s="17">
        <v>1</v>
      </c>
      <c r="R10" s="17">
        <v>4609</v>
      </c>
      <c r="S10" s="17" t="s">
        <v>95</v>
      </c>
      <c r="T10" s="17">
        <v>13398</v>
      </c>
      <c r="U10" s="17" t="s">
        <v>97</v>
      </c>
      <c r="V10" s="17" t="s">
        <v>355</v>
      </c>
      <c r="W10" s="17" t="s">
        <v>97</v>
      </c>
      <c r="X10" s="17">
        <v>13398</v>
      </c>
      <c r="Y10" s="17" t="s">
        <v>364</v>
      </c>
      <c r="Z10" s="18">
        <v>1</v>
      </c>
      <c r="AA10" s="18">
        <v>4609</v>
      </c>
      <c r="AB10" s="18" t="s">
        <v>95</v>
      </c>
      <c r="AC10" s="18">
        <v>13398</v>
      </c>
      <c r="AD10" s="18" t="s">
        <v>97</v>
      </c>
      <c r="AE10" s="18" t="s">
        <v>355</v>
      </c>
      <c r="AF10" s="18" t="s">
        <v>97</v>
      </c>
      <c r="AG10" s="18">
        <v>13398</v>
      </c>
      <c r="AH10" s="18" t="s">
        <v>364</v>
      </c>
      <c r="AI10" s="20">
        <v>1</v>
      </c>
      <c r="AJ10" s="20">
        <v>4609</v>
      </c>
      <c r="AK10" s="20" t="s">
        <v>95</v>
      </c>
      <c r="AL10" s="20">
        <v>13398</v>
      </c>
      <c r="AM10" s="20" t="s">
        <v>97</v>
      </c>
      <c r="AN10" s="20" t="s">
        <v>355</v>
      </c>
      <c r="AO10" s="20" t="s">
        <v>97</v>
      </c>
      <c r="AP10" s="20">
        <v>13398</v>
      </c>
      <c r="AQ10" s="20" t="s">
        <v>364</v>
      </c>
      <c r="AR10" t="s">
        <v>405</v>
      </c>
      <c r="AS10">
        <v>5</v>
      </c>
      <c r="AT10" t="s">
        <v>361</v>
      </c>
      <c r="AU10">
        <v>1.13390889680352E-3</v>
      </c>
      <c r="AV10">
        <v>1.01132686084142E-3</v>
      </c>
      <c r="AW10">
        <v>0</v>
      </c>
      <c r="AX10">
        <v>4.6529091880245501E-3</v>
      </c>
      <c r="AY10">
        <v>0</v>
      </c>
      <c r="AZ10">
        <v>2.1784165901373299E-3</v>
      </c>
      <c r="BA10">
        <v>0</v>
      </c>
      <c r="BB10">
        <v>0</v>
      </c>
      <c r="BC10">
        <v>4.0273985866903696E-3</v>
      </c>
      <c r="BD10">
        <v>0</v>
      </c>
      <c r="BE10">
        <v>0.25</v>
      </c>
      <c r="BF10">
        <v>0.125</v>
      </c>
      <c r="BG10">
        <v>0</v>
      </c>
      <c r="BH10">
        <v>0.375</v>
      </c>
      <c r="BI10">
        <v>0</v>
      </c>
      <c r="BJ10">
        <v>0.125</v>
      </c>
      <c r="BK10">
        <v>0</v>
      </c>
      <c r="BL10">
        <v>0</v>
      </c>
      <c r="BM10">
        <v>0.375</v>
      </c>
      <c r="BN10">
        <v>0</v>
      </c>
      <c r="BO10">
        <v>2.1400333902883702E-3</v>
      </c>
      <c r="BP10">
        <v>2.8604643251883E-3</v>
      </c>
      <c r="BQ10">
        <v>0</v>
      </c>
      <c r="BR10">
        <v>7.7790517950686901E-3</v>
      </c>
      <c r="BS10">
        <v>0</v>
      </c>
      <c r="BT10">
        <v>6.1614925725415196E-3</v>
      </c>
      <c r="BU10">
        <v>0</v>
      </c>
      <c r="BV10">
        <v>0</v>
      </c>
      <c r="BW10">
        <v>6.8019990573054299E-3</v>
      </c>
      <c r="BX10">
        <v>0</v>
      </c>
      <c r="BY10">
        <v>411</v>
      </c>
      <c r="BZ10">
        <v>155</v>
      </c>
      <c r="CA10">
        <v>0</v>
      </c>
      <c r="CB10">
        <v>160</v>
      </c>
      <c r="CC10">
        <v>0</v>
      </c>
      <c r="CD10">
        <v>816</v>
      </c>
      <c r="CE10">
        <v>0</v>
      </c>
      <c r="CF10">
        <v>0</v>
      </c>
      <c r="CG10">
        <v>115</v>
      </c>
      <c r="CH10">
        <v>0</v>
      </c>
      <c r="CI10">
        <v>2</v>
      </c>
      <c r="CJ10">
        <v>1</v>
      </c>
      <c r="CK10">
        <v>0</v>
      </c>
      <c r="CL10">
        <v>3</v>
      </c>
      <c r="CM10">
        <v>0</v>
      </c>
      <c r="CN10">
        <v>1</v>
      </c>
      <c r="CO10">
        <v>0</v>
      </c>
      <c r="CP10">
        <v>0</v>
      </c>
      <c r="CQ10">
        <v>3</v>
      </c>
      <c r="CR10">
        <v>0</v>
      </c>
      <c r="CS10">
        <f t="shared" si="0"/>
        <v>10</v>
      </c>
      <c r="CT10">
        <v>0.25</v>
      </c>
      <c r="CU10">
        <v>0.125</v>
      </c>
      <c r="CV10">
        <v>0</v>
      </c>
      <c r="CW10">
        <v>0.375</v>
      </c>
      <c r="CX10">
        <v>0</v>
      </c>
      <c r="CY10">
        <v>0.125</v>
      </c>
      <c r="CZ10">
        <v>0</v>
      </c>
      <c r="DA10">
        <v>0</v>
      </c>
      <c r="DB10">
        <v>0.375</v>
      </c>
      <c r="DC10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15">
        <f t="shared" si="1"/>
        <v>1679.5387470012629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</row>
    <row r="11" spans="1:151" x14ac:dyDescent="0.3">
      <c r="A11" t="s">
        <v>406</v>
      </c>
      <c r="B11">
        <v>3049</v>
      </c>
      <c r="C11">
        <v>7</v>
      </c>
      <c r="D11">
        <v>3049</v>
      </c>
      <c r="E11">
        <v>7</v>
      </c>
      <c r="F11">
        <v>1</v>
      </c>
      <c r="G11">
        <v>1</v>
      </c>
      <c r="H11" s="19">
        <v>1</v>
      </c>
      <c r="I11" s="19">
        <v>25623</v>
      </c>
      <c r="J11" s="19" t="s">
        <v>115</v>
      </c>
      <c r="K11" s="19">
        <v>25628</v>
      </c>
      <c r="L11" s="19" t="s">
        <v>120</v>
      </c>
      <c r="M11" s="19" t="s">
        <v>357</v>
      </c>
      <c r="N11" s="19" t="s">
        <v>407</v>
      </c>
      <c r="O11" s="19">
        <v>25629</v>
      </c>
      <c r="P11" s="19" t="s">
        <v>408</v>
      </c>
      <c r="Q11" s="17">
        <v>1</v>
      </c>
      <c r="R11" s="17">
        <v>25623</v>
      </c>
      <c r="S11" s="17" t="s">
        <v>115</v>
      </c>
      <c r="T11" s="17">
        <v>25628</v>
      </c>
      <c r="U11" s="17" t="s">
        <v>120</v>
      </c>
      <c r="V11" s="17" t="s">
        <v>355</v>
      </c>
      <c r="W11" s="17" t="s">
        <v>120</v>
      </c>
      <c r="X11" s="17">
        <v>25628</v>
      </c>
      <c r="Y11" s="17" t="s">
        <v>364</v>
      </c>
      <c r="Z11" s="18">
        <v>1</v>
      </c>
      <c r="AA11" s="18">
        <v>25623</v>
      </c>
      <c r="AB11" s="18" t="s">
        <v>115</v>
      </c>
      <c r="AC11" s="18">
        <v>25628</v>
      </c>
      <c r="AD11" s="18" t="s">
        <v>120</v>
      </c>
      <c r="AE11" s="18" t="s">
        <v>357</v>
      </c>
      <c r="AF11" s="18" t="s">
        <v>407</v>
      </c>
      <c r="AG11" s="18">
        <v>25629</v>
      </c>
      <c r="AH11" s="18" t="s">
        <v>408</v>
      </c>
      <c r="AI11" s="2">
        <v>0.72093023255800004</v>
      </c>
      <c r="AJ11" s="2">
        <v>3367</v>
      </c>
      <c r="AK11" s="2" t="s">
        <v>409</v>
      </c>
      <c r="AL11" s="2">
        <v>13100</v>
      </c>
      <c r="AM11" s="2" t="s">
        <v>410</v>
      </c>
      <c r="AN11" s="2" t="s">
        <v>411</v>
      </c>
      <c r="AO11" s="2" t="s">
        <v>412</v>
      </c>
      <c r="AP11" s="2">
        <v>244309</v>
      </c>
      <c r="AQ11" s="2" t="s">
        <v>413</v>
      </c>
      <c r="AR11" t="s">
        <v>414</v>
      </c>
      <c r="AS11" t="s">
        <v>366</v>
      </c>
      <c r="AT11" t="s">
        <v>366</v>
      </c>
      <c r="AU11">
        <v>0</v>
      </c>
      <c r="AV11">
        <v>0</v>
      </c>
      <c r="AW11">
        <v>0</v>
      </c>
      <c r="AX11">
        <v>0</v>
      </c>
      <c r="AY11">
        <v>5.6756480592235099E-2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0.875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3.3902945848865697E-2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3049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7</v>
      </c>
      <c r="CN11">
        <v>0</v>
      </c>
      <c r="CO11">
        <v>0</v>
      </c>
      <c r="CP11">
        <v>0</v>
      </c>
      <c r="CQ11">
        <v>0</v>
      </c>
      <c r="CR11">
        <v>0</v>
      </c>
      <c r="CS11">
        <f t="shared" si="0"/>
        <v>7</v>
      </c>
      <c r="CT11">
        <v>0</v>
      </c>
      <c r="CU11">
        <v>0</v>
      </c>
      <c r="CV11">
        <v>0</v>
      </c>
      <c r="CW11">
        <v>0</v>
      </c>
      <c r="CX11">
        <v>0.93402224362903896</v>
      </c>
      <c r="CY11">
        <v>0</v>
      </c>
      <c r="CZ11">
        <v>0</v>
      </c>
      <c r="DA11">
        <v>0</v>
      </c>
      <c r="DB11">
        <v>0</v>
      </c>
      <c r="DC11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15">
        <f t="shared" si="1"/>
        <v>3064.8996816700701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</row>
    <row r="12" spans="1:151" x14ac:dyDescent="0.3">
      <c r="A12" t="s">
        <v>415</v>
      </c>
      <c r="B12">
        <v>24221</v>
      </c>
      <c r="C12">
        <v>53</v>
      </c>
      <c r="D12">
        <v>24216</v>
      </c>
      <c r="E12">
        <v>50</v>
      </c>
      <c r="F12">
        <v>0.99979356756533599</v>
      </c>
      <c r="G12">
        <v>0.94339622641509402</v>
      </c>
      <c r="H12" s="19">
        <v>1</v>
      </c>
      <c r="I12" s="19">
        <v>3514</v>
      </c>
      <c r="J12" s="19" t="s">
        <v>114</v>
      </c>
      <c r="K12" s="19">
        <v>3504</v>
      </c>
      <c r="L12" s="19" t="s">
        <v>119</v>
      </c>
      <c r="M12" s="19" t="s">
        <v>355</v>
      </c>
      <c r="N12" s="19" t="s">
        <v>119</v>
      </c>
      <c r="O12" s="19">
        <v>3504</v>
      </c>
      <c r="P12" s="19" t="s">
        <v>364</v>
      </c>
      <c r="Q12" s="17">
        <v>1</v>
      </c>
      <c r="R12" s="17">
        <v>3514</v>
      </c>
      <c r="S12" s="17" t="s">
        <v>114</v>
      </c>
      <c r="T12" s="17" t="s">
        <v>366</v>
      </c>
      <c r="U12" s="17" t="s">
        <v>366</v>
      </c>
      <c r="V12" s="17" t="s">
        <v>379</v>
      </c>
      <c r="W12" s="17" t="s">
        <v>114</v>
      </c>
      <c r="X12" s="17">
        <v>3514</v>
      </c>
      <c r="Y12" s="17" t="s">
        <v>364</v>
      </c>
      <c r="Z12" s="18">
        <v>1</v>
      </c>
      <c r="AA12" s="18">
        <v>3514</v>
      </c>
      <c r="AB12" s="18" t="s">
        <v>114</v>
      </c>
      <c r="AC12" s="18">
        <v>3504</v>
      </c>
      <c r="AD12" s="18" t="s">
        <v>119</v>
      </c>
      <c r="AE12" s="18" t="s">
        <v>355</v>
      </c>
      <c r="AF12" s="18" t="s">
        <v>119</v>
      </c>
      <c r="AG12" s="18">
        <v>3504</v>
      </c>
      <c r="AH12" s="18" t="s">
        <v>416</v>
      </c>
      <c r="AI12" s="20">
        <v>1</v>
      </c>
      <c r="AJ12" s="20">
        <v>3514</v>
      </c>
      <c r="AK12" s="20" t="s">
        <v>114</v>
      </c>
      <c r="AL12" s="20">
        <v>3504</v>
      </c>
      <c r="AM12" s="20" t="s">
        <v>119</v>
      </c>
      <c r="AN12" s="20" t="s">
        <v>355</v>
      </c>
      <c r="AO12" s="20" t="s">
        <v>119</v>
      </c>
      <c r="AP12" s="20">
        <v>3504</v>
      </c>
      <c r="AQ12" s="20" t="s">
        <v>417</v>
      </c>
      <c r="AR12" t="s">
        <v>418</v>
      </c>
      <c r="AS12">
        <v>6</v>
      </c>
      <c r="AT12" t="s">
        <v>381</v>
      </c>
      <c r="AU12">
        <v>5.6876886097004802E-2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0.75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4.8558030958817798E-2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14499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6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f t="shared" si="0"/>
        <v>6</v>
      </c>
      <c r="CT12">
        <v>0.75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15">
        <f t="shared" si="1"/>
        <v>14512.605434917055</v>
      </c>
      <c r="EP12" s="16">
        <v>5548</v>
      </c>
      <c r="EQ12" s="16">
        <v>2.02860820218803E-2</v>
      </c>
      <c r="ER12" s="16">
        <v>5.7377704645512298E-2</v>
      </c>
      <c r="ES12" s="16">
        <v>1</v>
      </c>
      <c r="ET12" s="16">
        <v>0.125</v>
      </c>
      <c r="EU12" s="16">
        <v>0.125</v>
      </c>
    </row>
    <row r="13" spans="1:151" x14ac:dyDescent="0.3">
      <c r="A13" t="s">
        <v>419</v>
      </c>
      <c r="B13">
        <v>1761</v>
      </c>
      <c r="C13">
        <v>6</v>
      </c>
      <c r="D13">
        <v>1761</v>
      </c>
      <c r="E13">
        <v>6</v>
      </c>
      <c r="F13">
        <v>1</v>
      </c>
      <c r="G13">
        <v>1</v>
      </c>
      <c r="H13" s="12">
        <v>0.93617021276599999</v>
      </c>
      <c r="I13" s="12">
        <v>4345</v>
      </c>
      <c r="J13" s="12" t="s">
        <v>113</v>
      </c>
      <c r="K13" s="12" t="s">
        <v>366</v>
      </c>
      <c r="L13" s="12" t="s">
        <v>366</v>
      </c>
      <c r="M13" s="12" t="s">
        <v>420</v>
      </c>
      <c r="N13" s="12" t="s">
        <v>421</v>
      </c>
      <c r="O13" s="12">
        <v>217035</v>
      </c>
      <c r="P13" s="12" t="s">
        <v>422</v>
      </c>
      <c r="Q13" s="17">
        <v>1</v>
      </c>
      <c r="R13" s="17">
        <v>4345</v>
      </c>
      <c r="S13" s="17" t="s">
        <v>113</v>
      </c>
      <c r="T13" s="17">
        <v>13509</v>
      </c>
      <c r="U13" s="17" t="s">
        <v>423</v>
      </c>
      <c r="V13" s="17" t="s">
        <v>355</v>
      </c>
      <c r="W13" s="17" t="s">
        <v>423</v>
      </c>
      <c r="X13" s="17">
        <v>13509</v>
      </c>
      <c r="Y13" s="17" t="s">
        <v>364</v>
      </c>
      <c r="Z13" s="18">
        <v>1</v>
      </c>
      <c r="AA13" s="18">
        <v>4345</v>
      </c>
      <c r="AB13" s="18" t="s">
        <v>113</v>
      </c>
      <c r="AC13" s="18">
        <v>13509</v>
      </c>
      <c r="AD13" s="18" t="s">
        <v>423</v>
      </c>
      <c r="AE13" s="18" t="s">
        <v>357</v>
      </c>
      <c r="AF13" s="18" t="s">
        <v>424</v>
      </c>
      <c r="AG13" s="18">
        <v>49144</v>
      </c>
      <c r="AH13" s="18" t="s">
        <v>425</v>
      </c>
      <c r="AI13" s="2">
        <v>0.97826086956500002</v>
      </c>
      <c r="AJ13" s="2">
        <v>4345</v>
      </c>
      <c r="AK13" s="2" t="s">
        <v>113</v>
      </c>
      <c r="AL13" s="2">
        <v>45894</v>
      </c>
      <c r="AM13" s="2" t="s">
        <v>426</v>
      </c>
      <c r="AN13" s="2" t="s">
        <v>357</v>
      </c>
      <c r="AO13" s="2" t="s">
        <v>427</v>
      </c>
      <c r="AP13" s="2">
        <v>45899</v>
      </c>
      <c r="AQ13" s="2" t="s">
        <v>428</v>
      </c>
      <c r="AR13" t="s">
        <v>429</v>
      </c>
      <c r="AS13">
        <v>7</v>
      </c>
      <c r="AT13" t="s">
        <v>361</v>
      </c>
      <c r="AU13">
        <v>0</v>
      </c>
      <c r="AV13">
        <v>2.9233749533114401E-3</v>
      </c>
      <c r="AW13">
        <v>0</v>
      </c>
      <c r="AX13">
        <v>5.8074531971872801E-3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5.5470276304772498E-3</v>
      </c>
      <c r="BE13">
        <v>0</v>
      </c>
      <c r="BF13">
        <v>0.25</v>
      </c>
      <c r="BG13">
        <v>0</v>
      </c>
      <c r="BH13">
        <v>0.375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0.125</v>
      </c>
      <c r="BO13">
        <v>0</v>
      </c>
      <c r="BP13">
        <v>5.4235547776253501E-3</v>
      </c>
      <c r="BQ13">
        <v>0</v>
      </c>
      <c r="BR13">
        <v>9.6239190698692197E-3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1.56893634117585E-2</v>
      </c>
      <c r="BY13">
        <v>0</v>
      </c>
      <c r="BZ13">
        <v>465</v>
      </c>
      <c r="CA13">
        <v>0</v>
      </c>
      <c r="CB13">
        <v>819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477</v>
      </c>
      <c r="CI13">
        <v>0</v>
      </c>
      <c r="CJ13">
        <v>2</v>
      </c>
      <c r="CK13">
        <v>0</v>
      </c>
      <c r="CL13">
        <v>3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f t="shared" si="0"/>
        <v>6</v>
      </c>
      <c r="CT13">
        <v>0</v>
      </c>
      <c r="CU13">
        <v>0.25</v>
      </c>
      <c r="CV13">
        <v>0</v>
      </c>
      <c r="CW13">
        <v>0.375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6.4974159035270707E-2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15">
        <f t="shared" si="1"/>
        <v>1774.4849888520755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</row>
    <row r="14" spans="1:151" x14ac:dyDescent="0.3">
      <c r="A14" t="s">
        <v>430</v>
      </c>
      <c r="B14">
        <v>6122</v>
      </c>
      <c r="C14">
        <v>68</v>
      </c>
      <c r="D14">
        <v>3441</v>
      </c>
      <c r="E14">
        <v>26</v>
      </c>
      <c r="F14">
        <v>0.56207121855602704</v>
      </c>
      <c r="G14">
        <v>0.38235294117647101</v>
      </c>
      <c r="H14" s="12">
        <v>0.98</v>
      </c>
      <c r="I14" s="12">
        <v>4210</v>
      </c>
      <c r="J14" s="12" t="s">
        <v>99</v>
      </c>
      <c r="K14" s="12" t="s">
        <v>366</v>
      </c>
      <c r="L14" s="12" t="s">
        <v>366</v>
      </c>
      <c r="M14" s="12" t="s">
        <v>379</v>
      </c>
      <c r="N14" s="12" t="s">
        <v>99</v>
      </c>
      <c r="O14" s="12">
        <v>4210</v>
      </c>
      <c r="P14" s="12" t="s">
        <v>364</v>
      </c>
      <c r="Q14" s="17">
        <v>1</v>
      </c>
      <c r="R14" s="17">
        <v>4210</v>
      </c>
      <c r="S14" s="17" t="s">
        <v>99</v>
      </c>
      <c r="T14" s="17" t="s">
        <v>366</v>
      </c>
      <c r="U14" s="17" t="s">
        <v>366</v>
      </c>
      <c r="V14" s="17" t="s">
        <v>379</v>
      </c>
      <c r="W14" s="17" t="s">
        <v>99</v>
      </c>
      <c r="X14" s="17">
        <v>4210</v>
      </c>
      <c r="Y14" s="17" t="s">
        <v>364</v>
      </c>
      <c r="Z14" s="18">
        <v>1</v>
      </c>
      <c r="AA14" s="18">
        <v>4210</v>
      </c>
      <c r="AB14" s="18" t="s">
        <v>99</v>
      </c>
      <c r="AC14" s="18">
        <v>13464</v>
      </c>
      <c r="AD14" s="18" t="s">
        <v>431</v>
      </c>
      <c r="AE14" s="18" t="s">
        <v>357</v>
      </c>
      <c r="AF14" s="18" t="s">
        <v>432</v>
      </c>
      <c r="AG14" s="18">
        <v>268026</v>
      </c>
      <c r="AH14" s="18" t="s">
        <v>433</v>
      </c>
      <c r="AI14" s="2">
        <v>0.98</v>
      </c>
      <c r="AJ14" s="2">
        <v>4210</v>
      </c>
      <c r="AK14" s="2" t="s">
        <v>99</v>
      </c>
      <c r="AL14" s="2" t="s">
        <v>366</v>
      </c>
      <c r="AM14" s="2" t="s">
        <v>366</v>
      </c>
      <c r="AN14" s="2" t="s">
        <v>379</v>
      </c>
      <c r="AO14" s="2" t="s">
        <v>99</v>
      </c>
      <c r="AP14" s="2">
        <v>4210</v>
      </c>
      <c r="AQ14" s="2" t="s">
        <v>364</v>
      </c>
      <c r="AR14" t="s">
        <v>434</v>
      </c>
      <c r="AS14">
        <v>6</v>
      </c>
      <c r="AT14" t="s">
        <v>381</v>
      </c>
      <c r="AU14">
        <v>0</v>
      </c>
      <c r="AV14">
        <v>0</v>
      </c>
      <c r="AW14">
        <v>0</v>
      </c>
      <c r="AX14">
        <v>1.88490169879748E-3</v>
      </c>
      <c r="AY14">
        <v>1.9407673010240802E-2</v>
      </c>
      <c r="AZ14">
        <v>0</v>
      </c>
      <c r="BA14">
        <v>0</v>
      </c>
      <c r="BB14">
        <v>7.2516316171138497E-4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0.125</v>
      </c>
      <c r="BI14">
        <v>0.5</v>
      </c>
      <c r="BJ14">
        <v>0</v>
      </c>
      <c r="BK14">
        <v>0</v>
      </c>
      <c r="BL14">
        <v>0.125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5.3313070923589698E-3</v>
      </c>
      <c r="BS14">
        <v>2.2498485260531401E-2</v>
      </c>
      <c r="BT14">
        <v>0</v>
      </c>
      <c r="BU14">
        <v>0</v>
      </c>
      <c r="BV14">
        <v>2.0510711564511899E-3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79</v>
      </c>
      <c r="CC14">
        <v>843</v>
      </c>
      <c r="CD14">
        <v>0</v>
      </c>
      <c r="CE14">
        <v>0</v>
      </c>
      <c r="CF14">
        <v>8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4</v>
      </c>
      <c r="CN14">
        <v>0</v>
      </c>
      <c r="CO14">
        <v>0</v>
      </c>
      <c r="CP14">
        <v>1</v>
      </c>
      <c r="CQ14">
        <v>0</v>
      </c>
      <c r="CR14">
        <v>0</v>
      </c>
      <c r="CS14">
        <f t="shared" si="0"/>
        <v>6</v>
      </c>
      <c r="CT14">
        <v>0</v>
      </c>
      <c r="CU14">
        <v>0</v>
      </c>
      <c r="CV14">
        <v>0</v>
      </c>
      <c r="CW14">
        <v>0.125</v>
      </c>
      <c r="CX14">
        <v>0.35355109904545101</v>
      </c>
      <c r="CY14">
        <v>0</v>
      </c>
      <c r="CZ14">
        <v>0</v>
      </c>
      <c r="DA14">
        <v>0.125</v>
      </c>
      <c r="DB14">
        <v>0</v>
      </c>
      <c r="DC14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15">
        <f t="shared" si="1"/>
        <v>943.40544970042561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</row>
    <row r="15" spans="1:151" x14ac:dyDescent="0.3">
      <c r="A15" t="s">
        <v>435</v>
      </c>
      <c r="B15">
        <v>220907</v>
      </c>
      <c r="C15">
        <v>59</v>
      </c>
      <c r="D15">
        <v>220905</v>
      </c>
      <c r="E15">
        <v>58</v>
      </c>
      <c r="F15">
        <v>0.99999094641636499</v>
      </c>
      <c r="G15">
        <v>0.98305084745762705</v>
      </c>
      <c r="H15" s="19">
        <v>1</v>
      </c>
      <c r="I15" s="19">
        <v>3440</v>
      </c>
      <c r="J15" s="19" t="s">
        <v>436</v>
      </c>
      <c r="K15" s="19">
        <v>3448</v>
      </c>
      <c r="L15" s="19" t="s">
        <v>110</v>
      </c>
      <c r="M15" s="19" t="s">
        <v>355</v>
      </c>
      <c r="N15" s="19" t="s">
        <v>110</v>
      </c>
      <c r="O15" s="19">
        <v>3448</v>
      </c>
      <c r="P15" s="19" t="s">
        <v>437</v>
      </c>
      <c r="Q15" s="17">
        <v>1</v>
      </c>
      <c r="R15" s="17">
        <v>3440</v>
      </c>
      <c r="S15" s="17" t="s">
        <v>436</v>
      </c>
      <c r="T15" s="17">
        <v>3448</v>
      </c>
      <c r="U15" s="17" t="s">
        <v>110</v>
      </c>
      <c r="V15" s="17" t="s">
        <v>355</v>
      </c>
      <c r="W15" s="17" t="s">
        <v>110</v>
      </c>
      <c r="X15" s="17">
        <v>3448</v>
      </c>
      <c r="Y15" s="17" t="s">
        <v>364</v>
      </c>
      <c r="Z15" s="18">
        <v>1</v>
      </c>
      <c r="AA15" s="18">
        <v>3440</v>
      </c>
      <c r="AB15" s="18" t="s">
        <v>436</v>
      </c>
      <c r="AC15" s="18">
        <v>3448</v>
      </c>
      <c r="AD15" s="18" t="s">
        <v>110</v>
      </c>
      <c r="AE15" s="18" t="s">
        <v>357</v>
      </c>
      <c r="AF15" s="18" t="s">
        <v>111</v>
      </c>
      <c r="AG15" s="18">
        <v>3449</v>
      </c>
      <c r="AH15" s="18" t="s">
        <v>438</v>
      </c>
      <c r="AI15" s="20">
        <v>1</v>
      </c>
      <c r="AJ15" s="20">
        <v>3440</v>
      </c>
      <c r="AK15" s="20" t="s">
        <v>436</v>
      </c>
      <c r="AL15" s="20">
        <v>3448</v>
      </c>
      <c r="AM15" s="20" t="s">
        <v>110</v>
      </c>
      <c r="AN15" s="20" t="s">
        <v>355</v>
      </c>
      <c r="AO15" s="20" t="s">
        <v>110</v>
      </c>
      <c r="AP15" s="20">
        <v>3448</v>
      </c>
      <c r="AQ15" s="20" t="s">
        <v>437</v>
      </c>
      <c r="AR15" t="s">
        <v>439</v>
      </c>
      <c r="AS15">
        <v>7</v>
      </c>
      <c r="AT15" t="s">
        <v>381</v>
      </c>
      <c r="AU15">
        <v>9.0267237017616498E-4</v>
      </c>
      <c r="AV15">
        <v>0</v>
      </c>
      <c r="AW15">
        <v>1.03981302356031E-2</v>
      </c>
      <c r="AX15" s="21" t="s">
        <v>440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0.125</v>
      </c>
      <c r="BF15">
        <v>0</v>
      </c>
      <c r="BG15">
        <v>0.25</v>
      </c>
      <c r="BH15">
        <v>0.125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2.5531430165652001E-3</v>
      </c>
      <c r="BP15">
        <v>0</v>
      </c>
      <c r="BQ15">
        <v>1.97921083865625E-2</v>
      </c>
      <c r="BR15" s="21" t="s">
        <v>441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157</v>
      </c>
      <c r="BZ15">
        <v>0</v>
      </c>
      <c r="CA15">
        <v>4860</v>
      </c>
      <c r="CB15">
        <v>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2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f t="shared" si="0"/>
        <v>4</v>
      </c>
      <c r="CT15">
        <v>0.125</v>
      </c>
      <c r="CU15">
        <v>0</v>
      </c>
      <c r="CV15">
        <v>0.25</v>
      </c>
      <c r="CW15">
        <v>0.125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15">
        <f t="shared" si="1"/>
        <v>5029.0336460540093</v>
      </c>
      <c r="EP15" s="16">
        <v>5240</v>
      </c>
      <c r="EQ15" s="16">
        <v>1.9159890013455801E-2</v>
      </c>
      <c r="ER15" s="16">
        <v>5.4192352621211998E-2</v>
      </c>
      <c r="ES15" s="16">
        <v>1</v>
      </c>
      <c r="ET15" s="16">
        <v>0.125</v>
      </c>
      <c r="EU15" s="16">
        <v>0.125</v>
      </c>
    </row>
    <row r="16" spans="1:151" x14ac:dyDescent="0.3">
      <c r="A16" t="s">
        <v>442</v>
      </c>
      <c r="B16">
        <v>40995</v>
      </c>
      <c r="C16">
        <v>18</v>
      </c>
      <c r="D16">
        <v>40991</v>
      </c>
      <c r="E16">
        <v>15</v>
      </c>
      <c r="F16">
        <v>0.99990242712525901</v>
      </c>
      <c r="G16">
        <v>0.83333333333333304</v>
      </c>
      <c r="H16" s="19">
        <v>1</v>
      </c>
      <c r="I16" s="19">
        <v>4479</v>
      </c>
      <c r="J16" s="19" t="s">
        <v>100</v>
      </c>
      <c r="K16" s="19" t="s">
        <v>366</v>
      </c>
      <c r="L16" s="19" t="s">
        <v>366</v>
      </c>
      <c r="M16" s="19" t="s">
        <v>443</v>
      </c>
      <c r="N16" s="19" t="s">
        <v>444</v>
      </c>
      <c r="O16" s="19">
        <v>640630</v>
      </c>
      <c r="P16" s="19" t="s">
        <v>445</v>
      </c>
      <c r="Q16" s="17">
        <v>1</v>
      </c>
      <c r="R16" s="17">
        <v>4479</v>
      </c>
      <c r="S16" s="17" t="s">
        <v>100</v>
      </c>
      <c r="T16" s="17" t="s">
        <v>366</v>
      </c>
      <c r="U16" s="17" t="s">
        <v>366</v>
      </c>
      <c r="V16" s="17" t="s">
        <v>420</v>
      </c>
      <c r="W16" s="17" t="s">
        <v>446</v>
      </c>
      <c r="X16" s="17">
        <v>147368</v>
      </c>
      <c r="Y16" s="17" t="s">
        <v>364</v>
      </c>
      <c r="Z16" s="18">
        <v>1</v>
      </c>
      <c r="AA16" s="18">
        <v>4479</v>
      </c>
      <c r="AB16" s="18" t="s">
        <v>100</v>
      </c>
      <c r="AC16" s="18" t="s">
        <v>366</v>
      </c>
      <c r="AD16" s="18" t="s">
        <v>366</v>
      </c>
      <c r="AE16" s="18" t="s">
        <v>379</v>
      </c>
      <c r="AF16" s="18" t="s">
        <v>100</v>
      </c>
      <c r="AG16" s="18">
        <v>4479</v>
      </c>
      <c r="AH16" s="18" t="s">
        <v>364</v>
      </c>
      <c r="AI16" s="20">
        <v>1</v>
      </c>
      <c r="AJ16" s="20">
        <v>4479</v>
      </c>
      <c r="AK16" s="20" t="s">
        <v>100</v>
      </c>
      <c r="AL16" s="20" t="s">
        <v>366</v>
      </c>
      <c r="AM16" s="20" t="s">
        <v>366</v>
      </c>
      <c r="AN16" s="20" t="s">
        <v>420</v>
      </c>
      <c r="AO16" s="20" t="s">
        <v>446</v>
      </c>
      <c r="AP16" s="20">
        <v>147368</v>
      </c>
      <c r="AQ16" s="20" t="s">
        <v>364</v>
      </c>
      <c r="AR16" t="s">
        <v>447</v>
      </c>
      <c r="AS16" t="s">
        <v>366</v>
      </c>
      <c r="AT16" t="s">
        <v>366</v>
      </c>
      <c r="AU16">
        <v>0</v>
      </c>
      <c r="AV16">
        <v>0</v>
      </c>
      <c r="AW16">
        <v>3.0063406181269601E-2</v>
      </c>
      <c r="AX16">
        <v>6.0841763695361701E-3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8.7596027730935007E-3</v>
      </c>
      <c r="BE16">
        <v>0</v>
      </c>
      <c r="BF16">
        <v>0</v>
      </c>
      <c r="BG16">
        <v>0.125</v>
      </c>
      <c r="BH16">
        <v>0.125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0.125</v>
      </c>
      <c r="BO16">
        <v>0</v>
      </c>
      <c r="BP16">
        <v>0</v>
      </c>
      <c r="BQ16">
        <v>8.5032153505365193E-2</v>
      </c>
      <c r="BR16">
        <v>1.7208649475335899E-2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2.47758980854196E-2</v>
      </c>
      <c r="BY16">
        <v>0</v>
      </c>
      <c r="BZ16">
        <v>0</v>
      </c>
      <c r="CA16">
        <v>39695</v>
      </c>
      <c r="CB16">
        <v>255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374</v>
      </c>
      <c r="CI16">
        <v>0</v>
      </c>
      <c r="CJ16">
        <v>0</v>
      </c>
      <c r="CK16">
        <v>1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f t="shared" si="0"/>
        <v>3</v>
      </c>
      <c r="CT16">
        <v>0</v>
      </c>
      <c r="CU16">
        <v>0</v>
      </c>
      <c r="CV16">
        <v>0.125</v>
      </c>
      <c r="CW16">
        <v>0.125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3.2260404388430503E-2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15">
        <f t="shared" si="1"/>
        <v>40330.829184290778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</row>
    <row r="17" spans="1:151" x14ac:dyDescent="0.3">
      <c r="A17" t="s">
        <v>448</v>
      </c>
      <c r="B17">
        <v>34605</v>
      </c>
      <c r="C17">
        <v>6</v>
      </c>
      <c r="D17">
        <v>34602</v>
      </c>
      <c r="E17">
        <v>5</v>
      </c>
      <c r="F17">
        <v>0.99991330732553096</v>
      </c>
      <c r="G17">
        <v>0.83333333333333304</v>
      </c>
      <c r="H17" s="12">
        <v>0.86666666666699999</v>
      </c>
      <c r="I17" s="12" t="s">
        <v>366</v>
      </c>
      <c r="J17" s="12" t="s">
        <v>366</v>
      </c>
      <c r="K17" s="12" t="s">
        <v>366</v>
      </c>
      <c r="L17" s="12" t="s">
        <v>366</v>
      </c>
      <c r="M17" s="12" t="s">
        <v>386</v>
      </c>
      <c r="N17" s="12" t="s">
        <v>449</v>
      </c>
      <c r="O17" s="12">
        <v>71274</v>
      </c>
      <c r="P17" s="12" t="s">
        <v>450</v>
      </c>
      <c r="Q17" s="17">
        <v>1</v>
      </c>
      <c r="R17" s="17">
        <v>4070</v>
      </c>
      <c r="S17" s="17" t="s">
        <v>451</v>
      </c>
      <c r="T17" s="17" t="s">
        <v>366</v>
      </c>
      <c r="U17" s="17" t="s">
        <v>366</v>
      </c>
      <c r="V17" s="17" t="s">
        <v>420</v>
      </c>
      <c r="W17" s="17" t="s">
        <v>452</v>
      </c>
      <c r="X17" s="17">
        <v>424551</v>
      </c>
      <c r="Y17" s="17" t="s">
        <v>364</v>
      </c>
      <c r="Z17" s="18">
        <v>1</v>
      </c>
      <c r="AA17" s="18">
        <v>4070</v>
      </c>
      <c r="AB17" s="18" t="s">
        <v>451</v>
      </c>
      <c r="AC17" s="18" t="s">
        <v>366</v>
      </c>
      <c r="AD17" s="18" t="s">
        <v>366</v>
      </c>
      <c r="AE17" s="18" t="s">
        <v>420</v>
      </c>
      <c r="AF17" s="18" t="s">
        <v>452</v>
      </c>
      <c r="AG17" s="18">
        <v>424551</v>
      </c>
      <c r="AH17" s="18" t="s">
        <v>453</v>
      </c>
      <c r="AI17" s="20">
        <v>1</v>
      </c>
      <c r="AJ17" s="20">
        <v>4070</v>
      </c>
      <c r="AK17" s="20" t="s">
        <v>451</v>
      </c>
      <c r="AL17" s="20" t="s">
        <v>366</v>
      </c>
      <c r="AM17" s="20" t="s">
        <v>366</v>
      </c>
      <c r="AN17" s="20" t="s">
        <v>420</v>
      </c>
      <c r="AO17" s="20" t="s">
        <v>452</v>
      </c>
      <c r="AP17" s="20">
        <v>424551</v>
      </c>
      <c r="AQ17" s="20" t="s">
        <v>454</v>
      </c>
      <c r="AR17" t="s">
        <v>455</v>
      </c>
      <c r="AS17">
        <v>7</v>
      </c>
      <c r="AT17" t="s">
        <v>381</v>
      </c>
      <c r="AU17">
        <v>0.11229571830837699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1.67186803388319E-4</v>
      </c>
      <c r="BB17">
        <v>0</v>
      </c>
      <c r="BC17">
        <v>0</v>
      </c>
      <c r="BD17">
        <v>3.1250000000000002E-3</v>
      </c>
      <c r="BE17">
        <v>0.125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0.125</v>
      </c>
      <c r="BL17">
        <v>0</v>
      </c>
      <c r="BM17">
        <v>0</v>
      </c>
      <c r="BN17">
        <v>0.125</v>
      </c>
      <c r="BO17">
        <v>0.31762025565627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4.7287568960313001E-4</v>
      </c>
      <c r="BV17">
        <v>0</v>
      </c>
      <c r="BW17">
        <v>0</v>
      </c>
      <c r="BX17">
        <v>8.8388347648318492E-3</v>
      </c>
      <c r="BY17">
        <v>34137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36</v>
      </c>
      <c r="CF17">
        <v>0</v>
      </c>
      <c r="CG17">
        <v>0</v>
      </c>
      <c r="CH17">
        <v>14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1</v>
      </c>
      <c r="CS17">
        <f t="shared" si="0"/>
        <v>3</v>
      </c>
      <c r="CT17">
        <v>0.125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0.125</v>
      </c>
      <c r="DA17">
        <v>0</v>
      </c>
      <c r="DB17">
        <v>0</v>
      </c>
      <c r="DC17">
        <v>3.3850152627920298E-3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15">
        <f t="shared" si="1"/>
        <v>34194.070904886481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</row>
    <row r="18" spans="1:151" x14ac:dyDescent="0.3">
      <c r="A18" t="s">
        <v>456</v>
      </c>
      <c r="B18">
        <v>169657</v>
      </c>
      <c r="C18">
        <v>9</v>
      </c>
      <c r="D18">
        <v>169654</v>
      </c>
      <c r="E18">
        <v>7</v>
      </c>
      <c r="F18">
        <v>0.99998231726365505</v>
      </c>
      <c r="G18">
        <v>0.77777777777777801</v>
      </c>
      <c r="H18" s="19">
        <v>1</v>
      </c>
      <c r="I18" s="19">
        <v>4479</v>
      </c>
      <c r="J18" s="19" t="s">
        <v>100</v>
      </c>
      <c r="K18" s="19" t="s">
        <v>366</v>
      </c>
      <c r="L18" s="19" t="s">
        <v>366</v>
      </c>
      <c r="M18" s="19" t="s">
        <v>443</v>
      </c>
      <c r="N18" s="19" t="s">
        <v>457</v>
      </c>
      <c r="O18" s="19">
        <v>1648017</v>
      </c>
      <c r="P18" s="19" t="s">
        <v>458</v>
      </c>
      <c r="Q18" s="17">
        <v>1</v>
      </c>
      <c r="R18" s="17">
        <v>4479</v>
      </c>
      <c r="S18" s="17" t="s">
        <v>100</v>
      </c>
      <c r="T18" s="17" t="s">
        <v>366</v>
      </c>
      <c r="U18" s="17" t="s">
        <v>366</v>
      </c>
      <c r="V18" s="17" t="s">
        <v>420</v>
      </c>
      <c r="W18" s="17" t="s">
        <v>446</v>
      </c>
      <c r="X18" s="17">
        <v>147368</v>
      </c>
      <c r="Y18" s="17" t="s">
        <v>364</v>
      </c>
      <c r="Z18" s="18">
        <v>1</v>
      </c>
      <c r="AA18" s="18">
        <v>4479</v>
      </c>
      <c r="AB18" s="18" t="s">
        <v>100</v>
      </c>
      <c r="AC18" s="18" t="s">
        <v>366</v>
      </c>
      <c r="AD18" s="18" t="s">
        <v>366</v>
      </c>
      <c r="AE18" s="18" t="s">
        <v>367</v>
      </c>
      <c r="AF18" s="18" t="s">
        <v>459</v>
      </c>
      <c r="AG18" s="18">
        <v>147389</v>
      </c>
      <c r="AH18" s="18" t="s">
        <v>460</v>
      </c>
      <c r="AI18" s="20">
        <v>1</v>
      </c>
      <c r="AJ18" s="20">
        <v>4479</v>
      </c>
      <c r="AK18" s="20" t="s">
        <v>100</v>
      </c>
      <c r="AL18" s="20" t="s">
        <v>366</v>
      </c>
      <c r="AM18" s="20" t="s">
        <v>366</v>
      </c>
      <c r="AN18" s="20" t="s">
        <v>367</v>
      </c>
      <c r="AO18" s="20" t="s">
        <v>459</v>
      </c>
      <c r="AP18" s="20">
        <v>147389</v>
      </c>
      <c r="AQ18" s="20" t="s">
        <v>461</v>
      </c>
      <c r="AR18" t="s">
        <v>462</v>
      </c>
      <c r="AS18" t="s">
        <v>366</v>
      </c>
      <c r="AT18" t="s">
        <v>366</v>
      </c>
      <c r="AU18">
        <v>2.3151856725982699E-2</v>
      </c>
      <c r="AV18">
        <v>1.82522123893805E-2</v>
      </c>
      <c r="AW18">
        <v>0</v>
      </c>
      <c r="AX18">
        <v>0</v>
      </c>
      <c r="AY18">
        <v>0</v>
      </c>
      <c r="AZ18">
        <v>2.6124876857840401E-2</v>
      </c>
      <c r="BA18">
        <v>0</v>
      </c>
      <c r="BB18">
        <v>0</v>
      </c>
      <c r="BC18">
        <v>0</v>
      </c>
      <c r="BD18">
        <v>0</v>
      </c>
      <c r="BE18">
        <v>0.125</v>
      </c>
      <c r="BF18">
        <v>0.125</v>
      </c>
      <c r="BG18">
        <v>0</v>
      </c>
      <c r="BH18">
        <v>0</v>
      </c>
      <c r="BI18">
        <v>0</v>
      </c>
      <c r="BJ18">
        <v>0.125</v>
      </c>
      <c r="BK18">
        <v>0</v>
      </c>
      <c r="BL18">
        <v>0</v>
      </c>
      <c r="BM18">
        <v>0</v>
      </c>
      <c r="BN18">
        <v>0</v>
      </c>
      <c r="BO18">
        <v>6.5483339552007094E-2</v>
      </c>
      <c r="BP18">
        <v>5.16250526087524E-2</v>
      </c>
      <c r="BQ18">
        <v>0</v>
      </c>
      <c r="BR18">
        <v>0</v>
      </c>
      <c r="BS18">
        <v>0</v>
      </c>
      <c r="BT18">
        <v>7.3892310335369804E-2</v>
      </c>
      <c r="BU18">
        <v>0</v>
      </c>
      <c r="BV18">
        <v>0</v>
      </c>
      <c r="BW18">
        <v>0</v>
      </c>
      <c r="BX18">
        <v>0</v>
      </c>
      <c r="BY18">
        <v>3237</v>
      </c>
      <c r="BZ18">
        <v>198</v>
      </c>
      <c r="CA18">
        <v>0</v>
      </c>
      <c r="CB18">
        <v>0</v>
      </c>
      <c r="CC18">
        <v>0</v>
      </c>
      <c r="CD18">
        <v>19518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f t="shared" si="0"/>
        <v>3</v>
      </c>
      <c r="CT18">
        <v>0.125</v>
      </c>
      <c r="CU18">
        <v>0.125</v>
      </c>
      <c r="CV18">
        <v>0</v>
      </c>
      <c r="CW18">
        <v>0</v>
      </c>
      <c r="CX18">
        <v>0</v>
      </c>
      <c r="CY18">
        <v>0.125</v>
      </c>
      <c r="CZ18">
        <v>0</v>
      </c>
      <c r="DA18">
        <v>0</v>
      </c>
      <c r="DB18">
        <v>0</v>
      </c>
      <c r="DC18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15">
        <f t="shared" si="1"/>
        <v>22960.008529648469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</row>
    <row r="19" spans="1:151" x14ac:dyDescent="0.3">
      <c r="A19" t="s">
        <v>463</v>
      </c>
      <c r="B19">
        <v>962</v>
      </c>
      <c r="C19">
        <v>52</v>
      </c>
      <c r="D19">
        <v>369</v>
      </c>
      <c r="E19">
        <v>4</v>
      </c>
      <c r="F19">
        <v>0.38357588357588401</v>
      </c>
      <c r="G19">
        <v>7.69230769230769E-2</v>
      </c>
      <c r="H19" s="12">
        <v>0.98</v>
      </c>
      <c r="I19" s="12">
        <v>4210</v>
      </c>
      <c r="J19" s="12" t="s">
        <v>99</v>
      </c>
      <c r="K19" s="12" t="s">
        <v>366</v>
      </c>
      <c r="L19" s="12" t="s">
        <v>366</v>
      </c>
      <c r="M19" s="12" t="s">
        <v>379</v>
      </c>
      <c r="N19" s="12" t="s">
        <v>99</v>
      </c>
      <c r="O19" s="12">
        <v>4210</v>
      </c>
      <c r="P19" s="12" t="s">
        <v>364</v>
      </c>
      <c r="Q19" s="17">
        <v>1</v>
      </c>
      <c r="R19" s="17">
        <v>4210</v>
      </c>
      <c r="S19" s="17" t="s">
        <v>99</v>
      </c>
      <c r="T19" s="17" t="s">
        <v>366</v>
      </c>
      <c r="U19" s="17" t="s">
        <v>366</v>
      </c>
      <c r="V19" s="17" t="s">
        <v>379</v>
      </c>
      <c r="W19" s="17" t="s">
        <v>99</v>
      </c>
      <c r="X19" s="17">
        <v>4210</v>
      </c>
      <c r="Y19" s="17" t="s">
        <v>364</v>
      </c>
      <c r="Z19" s="18">
        <v>1</v>
      </c>
      <c r="AA19" s="18">
        <v>4210</v>
      </c>
      <c r="AB19" s="18" t="s">
        <v>99</v>
      </c>
      <c r="AC19" s="18">
        <v>41499</v>
      </c>
      <c r="AD19" s="18" t="s">
        <v>464</v>
      </c>
      <c r="AE19" s="18" t="s">
        <v>465</v>
      </c>
      <c r="AF19" s="18" t="s">
        <v>466</v>
      </c>
      <c r="AG19" s="18">
        <v>538473</v>
      </c>
      <c r="AH19" s="18" t="s">
        <v>467</v>
      </c>
      <c r="AI19" s="2">
        <v>0.98</v>
      </c>
      <c r="AJ19" s="2">
        <v>4210</v>
      </c>
      <c r="AK19" s="2" t="s">
        <v>99</v>
      </c>
      <c r="AL19" s="2" t="s">
        <v>366</v>
      </c>
      <c r="AM19" s="2" t="s">
        <v>366</v>
      </c>
      <c r="AN19" s="2" t="s">
        <v>379</v>
      </c>
      <c r="AO19" s="2" t="s">
        <v>99</v>
      </c>
      <c r="AP19" s="2">
        <v>4210</v>
      </c>
      <c r="AQ19" s="2" t="s">
        <v>364</v>
      </c>
      <c r="AR19" t="s">
        <v>468</v>
      </c>
      <c r="AS19">
        <v>5</v>
      </c>
      <c r="AT19" t="s">
        <v>381</v>
      </c>
      <c r="AU19">
        <v>0</v>
      </c>
      <c r="AV19">
        <v>0</v>
      </c>
      <c r="AW19">
        <v>0</v>
      </c>
      <c r="AX19">
        <v>0</v>
      </c>
      <c r="AY19">
        <v>7.4949695310841304E-3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1.39371435140534E-2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354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f t="shared" si="0"/>
        <v>2</v>
      </c>
      <c r="CT19">
        <v>0</v>
      </c>
      <c r="CU19">
        <v>0</v>
      </c>
      <c r="CV19">
        <v>0</v>
      </c>
      <c r="CW19">
        <v>0</v>
      </c>
      <c r="CX19">
        <v>0.19732025571416101</v>
      </c>
      <c r="CY19">
        <v>0</v>
      </c>
      <c r="CZ19">
        <v>0</v>
      </c>
      <c r="DA19">
        <v>0</v>
      </c>
      <c r="DB19">
        <v>0</v>
      </c>
      <c r="DC19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15">
        <f t="shared" si="1"/>
        <v>358.46875236875928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</row>
    <row r="20" spans="1:151" x14ac:dyDescent="0.3">
      <c r="A20" t="s">
        <v>469</v>
      </c>
      <c r="B20">
        <v>2447</v>
      </c>
      <c r="C20">
        <v>52</v>
      </c>
      <c r="D20">
        <v>739</v>
      </c>
      <c r="E20">
        <v>8</v>
      </c>
      <c r="F20">
        <v>0.30200245198201903</v>
      </c>
      <c r="G20">
        <v>0.15384615384615399</v>
      </c>
      <c r="H20" s="19">
        <v>1</v>
      </c>
      <c r="I20" s="19">
        <v>4210</v>
      </c>
      <c r="J20" s="19" t="s">
        <v>99</v>
      </c>
      <c r="K20" s="19">
        <v>151998</v>
      </c>
      <c r="L20" s="19" t="s">
        <v>105</v>
      </c>
      <c r="M20" s="19" t="s">
        <v>355</v>
      </c>
      <c r="N20" s="19" t="s">
        <v>105</v>
      </c>
      <c r="O20" s="19">
        <v>151998</v>
      </c>
      <c r="P20" s="19" t="s">
        <v>470</v>
      </c>
      <c r="Q20" s="17">
        <v>1</v>
      </c>
      <c r="R20" s="17">
        <v>4210</v>
      </c>
      <c r="S20" s="17" t="s">
        <v>99</v>
      </c>
      <c r="T20" s="17" t="s">
        <v>366</v>
      </c>
      <c r="U20" s="17" t="s">
        <v>366</v>
      </c>
      <c r="V20" s="17" t="s">
        <v>379</v>
      </c>
      <c r="W20" s="17" t="s">
        <v>99</v>
      </c>
      <c r="X20" s="17">
        <v>4210</v>
      </c>
      <c r="Y20" s="17" t="s">
        <v>364</v>
      </c>
      <c r="Z20" s="18">
        <v>1</v>
      </c>
      <c r="AA20" s="18">
        <v>4210</v>
      </c>
      <c r="AB20" s="18" t="s">
        <v>99</v>
      </c>
      <c r="AC20" s="18" t="s">
        <v>366</v>
      </c>
      <c r="AD20" s="18" t="s">
        <v>366</v>
      </c>
      <c r="AE20" s="18" t="s">
        <v>367</v>
      </c>
      <c r="AF20" s="18" t="s">
        <v>471</v>
      </c>
      <c r="AG20" s="18">
        <v>102812</v>
      </c>
      <c r="AH20" s="18" t="s">
        <v>472</v>
      </c>
      <c r="AI20" s="20">
        <v>1</v>
      </c>
      <c r="AJ20" s="20">
        <v>4210</v>
      </c>
      <c r="AK20" s="20" t="s">
        <v>99</v>
      </c>
      <c r="AL20" s="20">
        <v>151998</v>
      </c>
      <c r="AM20" s="20" t="s">
        <v>105</v>
      </c>
      <c r="AN20" s="20" t="s">
        <v>355</v>
      </c>
      <c r="AO20" s="20" t="s">
        <v>105</v>
      </c>
      <c r="AP20" s="20">
        <v>151998</v>
      </c>
      <c r="AQ20" s="20" t="s">
        <v>473</v>
      </c>
      <c r="AR20" t="s">
        <v>474</v>
      </c>
      <c r="AS20">
        <v>6</v>
      </c>
      <c r="AT20" t="s">
        <v>381</v>
      </c>
      <c r="AU20">
        <v>0</v>
      </c>
      <c r="AV20">
        <v>0</v>
      </c>
      <c r="AW20">
        <v>0</v>
      </c>
      <c r="AX20">
        <v>0</v>
      </c>
      <c r="AY20">
        <v>7.49877583845891E-3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0.25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1.3944912531952101E-2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282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</v>
      </c>
      <c r="CN20">
        <v>0</v>
      </c>
      <c r="CO20">
        <v>0</v>
      </c>
      <c r="CP20">
        <v>0</v>
      </c>
      <c r="CQ20">
        <v>0</v>
      </c>
      <c r="CR20">
        <v>0</v>
      </c>
      <c r="CS20">
        <f t="shared" si="0"/>
        <v>2</v>
      </c>
      <c r="CT20">
        <v>0</v>
      </c>
      <c r="CU20">
        <v>0</v>
      </c>
      <c r="CV20">
        <v>0</v>
      </c>
      <c r="CW20">
        <v>0</v>
      </c>
      <c r="CX20">
        <v>0.15826254488133801</v>
      </c>
      <c r="CY20">
        <v>0</v>
      </c>
      <c r="CZ20">
        <v>0</v>
      </c>
      <c r="DA20">
        <v>0</v>
      </c>
      <c r="DB20">
        <v>0</v>
      </c>
      <c r="DC20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15">
        <f t="shared" si="1"/>
        <v>286.42970623325175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</row>
    <row r="21" spans="1:151" x14ac:dyDescent="0.3">
      <c r="A21" t="s">
        <v>475</v>
      </c>
      <c r="B21">
        <v>1537</v>
      </c>
      <c r="C21">
        <v>56</v>
      </c>
      <c r="D21">
        <v>336</v>
      </c>
      <c r="E21">
        <v>4</v>
      </c>
      <c r="F21">
        <v>0.218607677293429</v>
      </c>
      <c r="G21">
        <v>7.1428571428571397E-2</v>
      </c>
      <c r="H21" s="12">
        <v>0.98</v>
      </c>
      <c r="I21" s="12">
        <v>4210</v>
      </c>
      <c r="J21" s="12" t="s">
        <v>99</v>
      </c>
      <c r="K21" s="12" t="s">
        <v>366</v>
      </c>
      <c r="L21" s="12" t="s">
        <v>366</v>
      </c>
      <c r="M21" s="12" t="s">
        <v>379</v>
      </c>
      <c r="N21" s="12" t="s">
        <v>99</v>
      </c>
      <c r="O21" s="12">
        <v>4210</v>
      </c>
      <c r="P21" s="12" t="s">
        <v>364</v>
      </c>
      <c r="Q21" s="17">
        <v>1</v>
      </c>
      <c r="R21" s="17">
        <v>4210</v>
      </c>
      <c r="S21" s="17" t="s">
        <v>99</v>
      </c>
      <c r="T21" s="17" t="s">
        <v>366</v>
      </c>
      <c r="U21" s="17" t="s">
        <v>366</v>
      </c>
      <c r="V21" s="17" t="s">
        <v>379</v>
      </c>
      <c r="W21" s="17" t="s">
        <v>99</v>
      </c>
      <c r="X21" s="17">
        <v>4210</v>
      </c>
      <c r="Y21" s="17" t="s">
        <v>364</v>
      </c>
      <c r="Z21" s="18">
        <v>1</v>
      </c>
      <c r="AA21" s="18">
        <v>4210</v>
      </c>
      <c r="AB21" s="18" t="s">
        <v>99</v>
      </c>
      <c r="AC21" s="18">
        <v>13516</v>
      </c>
      <c r="AD21" s="18" t="s">
        <v>476</v>
      </c>
      <c r="AE21" s="18" t="s">
        <v>357</v>
      </c>
      <c r="AF21" s="18" t="s">
        <v>477</v>
      </c>
      <c r="AG21" s="18">
        <v>102770</v>
      </c>
      <c r="AH21" s="18" t="s">
        <v>478</v>
      </c>
      <c r="AI21" s="20">
        <v>1</v>
      </c>
      <c r="AJ21" s="20">
        <v>4210</v>
      </c>
      <c r="AK21" s="20" t="s">
        <v>99</v>
      </c>
      <c r="AL21" s="20">
        <v>13516</v>
      </c>
      <c r="AM21" s="20" t="s">
        <v>476</v>
      </c>
      <c r="AN21" s="20" t="s">
        <v>357</v>
      </c>
      <c r="AO21" s="20" t="s">
        <v>477</v>
      </c>
      <c r="AP21" s="20">
        <v>102770</v>
      </c>
      <c r="AQ21" s="20" t="s">
        <v>478</v>
      </c>
      <c r="AR21" t="s">
        <v>479</v>
      </c>
      <c r="AS21">
        <v>7</v>
      </c>
      <c r="AT21" t="s">
        <v>381</v>
      </c>
      <c r="AU21">
        <v>0</v>
      </c>
      <c r="AV21">
        <v>0</v>
      </c>
      <c r="AW21">
        <v>0</v>
      </c>
      <c r="AX21">
        <v>0</v>
      </c>
      <c r="AY21">
        <v>8.0031979672409697E-3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0.25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1.5546684591808E-2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160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f t="shared" si="0"/>
        <v>2</v>
      </c>
      <c r="CT21">
        <v>0</v>
      </c>
      <c r="CU21">
        <v>0</v>
      </c>
      <c r="CV21">
        <v>0</v>
      </c>
      <c r="CW21">
        <v>0</v>
      </c>
      <c r="CX21">
        <v>9.2407391190121702E-2</v>
      </c>
      <c r="CY21">
        <v>0</v>
      </c>
      <c r="CZ21">
        <v>0</v>
      </c>
      <c r="DA21">
        <v>0</v>
      </c>
      <c r="DB21">
        <v>0</v>
      </c>
      <c r="DC21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15">
        <f t="shared" si="1"/>
        <v>164.36595727374916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</row>
    <row r="22" spans="1:151" x14ac:dyDescent="0.3">
      <c r="A22" t="s">
        <v>480</v>
      </c>
      <c r="B22">
        <v>144924</v>
      </c>
      <c r="C22">
        <v>13</v>
      </c>
      <c r="D22">
        <v>144924</v>
      </c>
      <c r="E22">
        <v>13</v>
      </c>
      <c r="F22">
        <v>1</v>
      </c>
      <c r="G22">
        <v>1</v>
      </c>
      <c r="H22" s="19">
        <v>1</v>
      </c>
      <c r="I22" s="19">
        <v>3318</v>
      </c>
      <c r="J22" s="19" t="s">
        <v>116</v>
      </c>
      <c r="K22" s="19">
        <v>3328</v>
      </c>
      <c r="L22" s="19" t="s">
        <v>118</v>
      </c>
      <c r="M22" s="19" t="s">
        <v>355</v>
      </c>
      <c r="N22" s="19" t="s">
        <v>118</v>
      </c>
      <c r="O22" s="19">
        <v>3328</v>
      </c>
      <c r="P22" s="19" t="s">
        <v>481</v>
      </c>
      <c r="Q22" s="17">
        <v>1</v>
      </c>
      <c r="R22" s="17">
        <v>3318</v>
      </c>
      <c r="S22" s="17" t="s">
        <v>116</v>
      </c>
      <c r="T22" s="17">
        <v>3328</v>
      </c>
      <c r="U22" s="17" t="s">
        <v>118</v>
      </c>
      <c r="V22" s="17" t="s">
        <v>355</v>
      </c>
      <c r="W22" s="17" t="s">
        <v>118</v>
      </c>
      <c r="X22" s="17">
        <v>3328</v>
      </c>
      <c r="Y22" s="17" t="s">
        <v>364</v>
      </c>
      <c r="Z22" s="18">
        <v>1</v>
      </c>
      <c r="AA22" s="18">
        <v>3318</v>
      </c>
      <c r="AB22" s="18" t="s">
        <v>116</v>
      </c>
      <c r="AC22" s="18">
        <v>3328</v>
      </c>
      <c r="AD22" s="18" t="s">
        <v>118</v>
      </c>
      <c r="AE22" s="18" t="s">
        <v>357</v>
      </c>
      <c r="AF22" s="18" t="s">
        <v>482</v>
      </c>
      <c r="AG22" s="18">
        <v>3329</v>
      </c>
      <c r="AH22" s="18" t="s">
        <v>483</v>
      </c>
      <c r="AI22" s="20">
        <v>1</v>
      </c>
      <c r="AJ22" s="20">
        <v>3318</v>
      </c>
      <c r="AK22" s="20" t="s">
        <v>116</v>
      </c>
      <c r="AL22" s="20">
        <v>3328</v>
      </c>
      <c r="AM22" s="20" t="s">
        <v>118</v>
      </c>
      <c r="AN22" s="20" t="s">
        <v>357</v>
      </c>
      <c r="AO22" s="20" t="s">
        <v>482</v>
      </c>
      <c r="AP22" s="20">
        <v>3329</v>
      </c>
      <c r="AQ22" s="20" t="s">
        <v>483</v>
      </c>
      <c r="AR22" t="s">
        <v>484</v>
      </c>
      <c r="AS22" t="s">
        <v>366</v>
      </c>
      <c r="AT22" t="s">
        <v>366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2.90074305887431E-2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0.125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8.2045403496393401E-2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15053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f t="shared" si="0"/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0.125</v>
      </c>
      <c r="CZ22">
        <v>0</v>
      </c>
      <c r="DA22">
        <v>0</v>
      </c>
      <c r="DB22">
        <v>0</v>
      </c>
      <c r="DC22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15">
        <f t="shared" si="1"/>
        <v>15055.361052834085</v>
      </c>
      <c r="EP22" s="16">
        <v>4863</v>
      </c>
      <c r="EQ22" s="16">
        <v>1.7781401743403698E-2</v>
      </c>
      <c r="ER22" s="16">
        <v>5.0293399007052299E-2</v>
      </c>
      <c r="ES22" s="16">
        <v>1</v>
      </c>
      <c r="ET22" s="16">
        <v>0.125</v>
      </c>
      <c r="EU22" s="16">
        <v>0.125</v>
      </c>
    </row>
    <row r="23" spans="1:151" x14ac:dyDescent="0.3">
      <c r="A23" t="s">
        <v>485</v>
      </c>
      <c r="B23">
        <v>274793</v>
      </c>
      <c r="C23">
        <v>62</v>
      </c>
      <c r="D23">
        <v>274781</v>
      </c>
      <c r="E23">
        <v>61</v>
      </c>
      <c r="F23">
        <v>0.99995633076533996</v>
      </c>
      <c r="G23">
        <v>0.98387096774193505</v>
      </c>
      <c r="H23" s="19">
        <v>1</v>
      </c>
      <c r="I23" s="19">
        <v>4037</v>
      </c>
      <c r="J23" s="19" t="s">
        <v>103</v>
      </c>
      <c r="K23" s="19" t="s">
        <v>366</v>
      </c>
      <c r="L23" s="19" t="s">
        <v>366</v>
      </c>
      <c r="M23" s="19" t="s">
        <v>386</v>
      </c>
      <c r="N23" s="19" t="s">
        <v>486</v>
      </c>
      <c r="O23" s="19">
        <v>241780</v>
      </c>
      <c r="P23" s="19" t="s">
        <v>487</v>
      </c>
      <c r="Q23" s="17">
        <v>1</v>
      </c>
      <c r="R23" s="17">
        <v>4037</v>
      </c>
      <c r="S23" s="17" t="s">
        <v>103</v>
      </c>
      <c r="T23" s="17" t="s">
        <v>366</v>
      </c>
      <c r="U23" s="17" t="s">
        <v>366</v>
      </c>
      <c r="V23" s="17" t="s">
        <v>420</v>
      </c>
      <c r="W23" s="17" t="s">
        <v>488</v>
      </c>
      <c r="X23" s="17">
        <v>241778</v>
      </c>
      <c r="Y23" s="17" t="s">
        <v>364</v>
      </c>
      <c r="Z23" s="18">
        <v>1</v>
      </c>
      <c r="AA23" s="18">
        <v>4037</v>
      </c>
      <c r="AB23" s="18" t="s">
        <v>103</v>
      </c>
      <c r="AC23" s="18" t="s">
        <v>366</v>
      </c>
      <c r="AD23" s="18" t="s">
        <v>366</v>
      </c>
      <c r="AE23" s="18" t="s">
        <v>420</v>
      </c>
      <c r="AF23" s="18" t="s">
        <v>488</v>
      </c>
      <c r="AG23" s="18">
        <v>241778</v>
      </c>
      <c r="AH23" s="18" t="s">
        <v>364</v>
      </c>
      <c r="AI23" s="20">
        <v>1</v>
      </c>
      <c r="AJ23" s="20">
        <v>4037</v>
      </c>
      <c r="AK23" s="20" t="s">
        <v>103</v>
      </c>
      <c r="AL23" s="20" t="s">
        <v>366</v>
      </c>
      <c r="AM23" s="20" t="s">
        <v>366</v>
      </c>
      <c r="AN23" s="20" t="s">
        <v>420</v>
      </c>
      <c r="AO23" s="20" t="s">
        <v>488</v>
      </c>
      <c r="AP23" s="20">
        <v>241778</v>
      </c>
      <c r="AQ23" s="20" t="s">
        <v>364</v>
      </c>
      <c r="AR23" t="s">
        <v>489</v>
      </c>
      <c r="AS23">
        <v>5</v>
      </c>
      <c r="AT23" t="s">
        <v>381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1.9055832096177901E-2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0.125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5.38980323854387E-2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5237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f t="shared" si="0"/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0.125</v>
      </c>
      <c r="CZ23">
        <v>0</v>
      </c>
      <c r="DA23">
        <v>0</v>
      </c>
      <c r="DB23">
        <v>0</v>
      </c>
      <c r="DC23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15">
        <f t="shared" si="1"/>
        <v>5239.3229538644819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</row>
    <row r="24" spans="1:151" x14ac:dyDescent="0.3">
      <c r="A24" t="s">
        <v>490</v>
      </c>
      <c r="B24">
        <v>3278</v>
      </c>
      <c r="C24">
        <v>28</v>
      </c>
      <c r="D24">
        <v>3276</v>
      </c>
      <c r="E24">
        <v>26</v>
      </c>
      <c r="F24">
        <v>0.99938987187309303</v>
      </c>
      <c r="G24">
        <v>0.92857142857142905</v>
      </c>
      <c r="H24" s="12">
        <v>0.90697674418600005</v>
      </c>
      <c r="I24" s="12" t="s">
        <v>366</v>
      </c>
      <c r="J24" s="12" t="s">
        <v>366</v>
      </c>
      <c r="K24" s="12" t="s">
        <v>366</v>
      </c>
      <c r="L24" s="12" t="s">
        <v>366</v>
      </c>
      <c r="M24" s="12" t="s">
        <v>491</v>
      </c>
      <c r="N24" s="12" t="s">
        <v>492</v>
      </c>
      <c r="O24" s="12">
        <v>4143</v>
      </c>
      <c r="P24" s="12" t="s">
        <v>493</v>
      </c>
      <c r="Q24" s="17">
        <v>1</v>
      </c>
      <c r="R24" s="17">
        <v>24966</v>
      </c>
      <c r="S24" s="17" t="s">
        <v>494</v>
      </c>
      <c r="T24" s="17">
        <v>25168</v>
      </c>
      <c r="U24" s="17" t="s">
        <v>112</v>
      </c>
      <c r="V24" s="17" t="s">
        <v>355</v>
      </c>
      <c r="W24" s="17" t="s">
        <v>112</v>
      </c>
      <c r="X24" s="17">
        <v>25168</v>
      </c>
      <c r="Y24" s="17" t="s">
        <v>364</v>
      </c>
      <c r="Z24" s="18">
        <v>1</v>
      </c>
      <c r="AA24" s="18">
        <v>24966</v>
      </c>
      <c r="AB24" s="18" t="s">
        <v>494</v>
      </c>
      <c r="AC24" s="18">
        <v>25168</v>
      </c>
      <c r="AD24" s="18" t="s">
        <v>112</v>
      </c>
      <c r="AE24" s="18" t="s">
        <v>355</v>
      </c>
      <c r="AF24" s="18" t="s">
        <v>112</v>
      </c>
      <c r="AG24" s="18">
        <v>25168</v>
      </c>
      <c r="AH24" s="18" t="s">
        <v>495</v>
      </c>
      <c r="AI24" s="20">
        <v>1</v>
      </c>
      <c r="AJ24" s="20">
        <v>24966</v>
      </c>
      <c r="AK24" s="20" t="s">
        <v>494</v>
      </c>
      <c r="AL24" s="20">
        <v>25168</v>
      </c>
      <c r="AM24" s="20" t="s">
        <v>112</v>
      </c>
      <c r="AN24" s="20" t="s">
        <v>355</v>
      </c>
      <c r="AO24" s="20" t="s">
        <v>112</v>
      </c>
      <c r="AP24" s="20">
        <v>25168</v>
      </c>
      <c r="AQ24" s="20" t="s">
        <v>496</v>
      </c>
      <c r="AR24" t="s">
        <v>497</v>
      </c>
      <c r="AS24">
        <v>6</v>
      </c>
      <c r="AT24" t="s">
        <v>381</v>
      </c>
      <c r="AU24">
        <v>0</v>
      </c>
      <c r="AV24">
        <v>0</v>
      </c>
      <c r="AW24">
        <v>0</v>
      </c>
      <c r="AX24">
        <v>5.9925166621194997E-3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0.125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1.6949396672632299E-2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1230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f t="shared" si="0"/>
        <v>1</v>
      </c>
      <c r="CT24">
        <v>0</v>
      </c>
      <c r="CU24">
        <v>0</v>
      </c>
      <c r="CV24">
        <v>0</v>
      </c>
      <c r="CW24">
        <v>0.125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15">
        <f t="shared" si="1"/>
        <v>1232.2729419133348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</row>
    <row r="25" spans="1:151" x14ac:dyDescent="0.3">
      <c r="A25" t="s">
        <v>498</v>
      </c>
      <c r="B25">
        <v>1080</v>
      </c>
      <c r="C25">
        <v>10</v>
      </c>
      <c r="D25">
        <v>1055</v>
      </c>
      <c r="E25">
        <v>6</v>
      </c>
      <c r="F25">
        <v>0.97685185185185197</v>
      </c>
      <c r="G25">
        <v>0.6</v>
      </c>
      <c r="H25" s="12">
        <v>0.97777777777800001</v>
      </c>
      <c r="I25" s="12">
        <v>4037</v>
      </c>
      <c r="J25" s="12" t="s">
        <v>103</v>
      </c>
      <c r="K25" s="12" t="s">
        <v>366</v>
      </c>
      <c r="L25" s="12" t="s">
        <v>366</v>
      </c>
      <c r="M25" s="12" t="s">
        <v>420</v>
      </c>
      <c r="N25" s="12" t="s">
        <v>488</v>
      </c>
      <c r="O25" s="12">
        <v>241778</v>
      </c>
      <c r="P25" s="12" t="s">
        <v>499</v>
      </c>
      <c r="Q25" s="17">
        <v>1</v>
      </c>
      <c r="R25" s="17">
        <v>4037</v>
      </c>
      <c r="S25" s="17" t="s">
        <v>103</v>
      </c>
      <c r="T25" s="17" t="s">
        <v>366</v>
      </c>
      <c r="U25" s="17" t="s">
        <v>366</v>
      </c>
      <c r="V25" s="17" t="s">
        <v>386</v>
      </c>
      <c r="W25" s="17" t="s">
        <v>486</v>
      </c>
      <c r="X25" s="17">
        <v>241780</v>
      </c>
      <c r="Y25" s="17" t="s">
        <v>364</v>
      </c>
      <c r="Z25" s="18">
        <v>1</v>
      </c>
      <c r="AA25" s="18">
        <v>4037</v>
      </c>
      <c r="AB25" s="18" t="s">
        <v>103</v>
      </c>
      <c r="AC25" s="18">
        <v>40951</v>
      </c>
      <c r="AD25" s="18" t="s">
        <v>500</v>
      </c>
      <c r="AE25" s="18" t="s">
        <v>357</v>
      </c>
      <c r="AF25" s="18" t="s">
        <v>501</v>
      </c>
      <c r="AG25" s="18">
        <v>1522196</v>
      </c>
      <c r="AH25" s="18" t="s">
        <v>502</v>
      </c>
      <c r="AI25" s="2">
        <v>0.97777777777800001</v>
      </c>
      <c r="AJ25" s="2">
        <v>4037</v>
      </c>
      <c r="AK25" s="2" t="s">
        <v>103</v>
      </c>
      <c r="AL25" s="2" t="s">
        <v>366</v>
      </c>
      <c r="AM25" s="2" t="s">
        <v>366</v>
      </c>
      <c r="AN25" s="2" t="s">
        <v>420</v>
      </c>
      <c r="AO25" s="2" t="s">
        <v>488</v>
      </c>
      <c r="AP25" s="2">
        <v>241778</v>
      </c>
      <c r="AQ25" s="2" t="s">
        <v>503</v>
      </c>
      <c r="AR25" t="s">
        <v>504</v>
      </c>
      <c r="AS25">
        <v>5</v>
      </c>
      <c r="AT25" t="s">
        <v>381</v>
      </c>
      <c r="AU25">
        <v>1.48658102264055E-2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0.125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4.2046860875694599E-2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935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f t="shared" si="0"/>
        <v>1</v>
      </c>
      <c r="CT25">
        <v>0.125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15">
        <f t="shared" si="1"/>
        <v>937.30691267110205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</row>
    <row r="26" spans="1:151" x14ac:dyDescent="0.3">
      <c r="A26" t="s">
        <v>505</v>
      </c>
      <c r="B26">
        <v>1961</v>
      </c>
      <c r="C26">
        <v>56</v>
      </c>
      <c r="D26">
        <v>757</v>
      </c>
      <c r="E26">
        <v>6</v>
      </c>
      <c r="F26">
        <v>0.38602753697093301</v>
      </c>
      <c r="G26">
        <v>0.107142857142857</v>
      </c>
      <c r="H26" s="12">
        <v>0.98</v>
      </c>
      <c r="I26" s="12">
        <v>4210</v>
      </c>
      <c r="J26" s="12" t="s">
        <v>99</v>
      </c>
      <c r="K26" s="12" t="s">
        <v>366</v>
      </c>
      <c r="L26" s="12" t="s">
        <v>366</v>
      </c>
      <c r="M26" s="12" t="s">
        <v>379</v>
      </c>
      <c r="N26" s="12" t="s">
        <v>99</v>
      </c>
      <c r="O26" s="12">
        <v>4210</v>
      </c>
      <c r="P26" s="12" t="s">
        <v>364</v>
      </c>
      <c r="Q26" s="17">
        <v>1</v>
      </c>
      <c r="R26" s="17">
        <v>4210</v>
      </c>
      <c r="S26" s="17" t="s">
        <v>99</v>
      </c>
      <c r="T26" s="17">
        <v>58643</v>
      </c>
      <c r="U26" s="17" t="s">
        <v>506</v>
      </c>
      <c r="V26" s="17" t="s">
        <v>357</v>
      </c>
      <c r="W26" s="17" t="s">
        <v>507</v>
      </c>
      <c r="X26" s="17">
        <v>58650</v>
      </c>
      <c r="Y26" s="17" t="s">
        <v>508</v>
      </c>
      <c r="Z26" s="18">
        <v>1</v>
      </c>
      <c r="AA26" s="18">
        <v>4210</v>
      </c>
      <c r="AB26" s="18" t="s">
        <v>99</v>
      </c>
      <c r="AC26" s="18">
        <v>58643</v>
      </c>
      <c r="AD26" s="18" t="s">
        <v>506</v>
      </c>
      <c r="AE26" s="18" t="s">
        <v>357</v>
      </c>
      <c r="AF26" s="18" t="s">
        <v>507</v>
      </c>
      <c r="AG26" s="18">
        <v>58650</v>
      </c>
      <c r="AH26" s="18" t="s">
        <v>508</v>
      </c>
      <c r="AI26" s="2">
        <v>0.98</v>
      </c>
      <c r="AJ26" s="2">
        <v>4210</v>
      </c>
      <c r="AK26" s="2" t="s">
        <v>99</v>
      </c>
      <c r="AL26" s="2" t="s">
        <v>366</v>
      </c>
      <c r="AM26" s="2" t="s">
        <v>366</v>
      </c>
      <c r="AN26" s="2" t="s">
        <v>379</v>
      </c>
      <c r="AO26" s="2" t="s">
        <v>99</v>
      </c>
      <c r="AP26" s="2">
        <v>4210</v>
      </c>
      <c r="AQ26" s="2" t="s">
        <v>364</v>
      </c>
      <c r="AR26" t="s">
        <v>509</v>
      </c>
      <c r="AS26">
        <v>5</v>
      </c>
      <c r="AT26" t="s">
        <v>381</v>
      </c>
      <c r="AU26">
        <v>0</v>
      </c>
      <c r="AV26">
        <v>0</v>
      </c>
      <c r="AW26">
        <v>0</v>
      </c>
      <c r="AX26">
        <v>1.8123708929337001E-3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0.125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5.1261589936741599E-3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372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f t="shared" si="0"/>
        <v>1</v>
      </c>
      <c r="CT26">
        <v>0</v>
      </c>
      <c r="CU26">
        <v>0</v>
      </c>
      <c r="CV26">
        <v>0</v>
      </c>
      <c r="CW26">
        <v>0.125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15">
        <f t="shared" si="1"/>
        <v>374.25693852988661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</row>
    <row r="27" spans="1:151" x14ac:dyDescent="0.3">
      <c r="A27" t="s">
        <v>510</v>
      </c>
      <c r="B27">
        <v>122</v>
      </c>
      <c r="C27">
        <v>31</v>
      </c>
      <c r="D27">
        <v>81</v>
      </c>
      <c r="E27">
        <v>14</v>
      </c>
      <c r="F27">
        <v>0.66393442622950805</v>
      </c>
      <c r="G27">
        <v>0.45161290322580599</v>
      </c>
      <c r="H27" s="19">
        <v>1</v>
      </c>
      <c r="I27" s="19">
        <v>4206</v>
      </c>
      <c r="J27" s="19" t="s">
        <v>511</v>
      </c>
      <c r="K27" s="19">
        <v>4201</v>
      </c>
      <c r="L27" s="19" t="s">
        <v>117</v>
      </c>
      <c r="M27" s="19" t="s">
        <v>355</v>
      </c>
      <c r="N27" s="19" t="s">
        <v>117</v>
      </c>
      <c r="O27" s="19">
        <v>4201</v>
      </c>
      <c r="P27" s="19" t="s">
        <v>512</v>
      </c>
      <c r="Q27" s="17">
        <v>1</v>
      </c>
      <c r="R27" s="17" t="s">
        <v>366</v>
      </c>
      <c r="S27" s="17" t="s">
        <v>366</v>
      </c>
      <c r="T27" s="17" t="s">
        <v>366</v>
      </c>
      <c r="U27" s="17" t="s">
        <v>366</v>
      </c>
      <c r="V27" s="17" t="s">
        <v>386</v>
      </c>
      <c r="W27" s="17" t="s">
        <v>513</v>
      </c>
      <c r="X27" s="17">
        <v>91882</v>
      </c>
      <c r="Y27" s="17" t="s">
        <v>364</v>
      </c>
      <c r="Z27" s="18">
        <v>1</v>
      </c>
      <c r="AA27" s="18">
        <v>4206</v>
      </c>
      <c r="AB27" s="18" t="s">
        <v>511</v>
      </c>
      <c r="AC27" s="18">
        <v>4201</v>
      </c>
      <c r="AD27" s="18" t="s">
        <v>117</v>
      </c>
      <c r="AE27" s="18" t="s">
        <v>355</v>
      </c>
      <c r="AF27" s="18" t="s">
        <v>117</v>
      </c>
      <c r="AG27" s="18">
        <v>4201</v>
      </c>
      <c r="AH27" s="18" t="s">
        <v>514</v>
      </c>
      <c r="AI27" s="20">
        <v>1</v>
      </c>
      <c r="AJ27" s="20">
        <v>4206</v>
      </c>
      <c r="AK27" s="20" t="s">
        <v>511</v>
      </c>
      <c r="AL27" s="20">
        <v>4201</v>
      </c>
      <c r="AM27" s="20" t="s">
        <v>117</v>
      </c>
      <c r="AN27" s="20" t="s">
        <v>465</v>
      </c>
      <c r="AO27" s="20" t="s">
        <v>515</v>
      </c>
      <c r="AP27" s="20">
        <v>57013</v>
      </c>
      <c r="AQ27" s="20" t="s">
        <v>516</v>
      </c>
      <c r="AR27" t="s">
        <v>517</v>
      </c>
      <c r="AS27">
        <v>6</v>
      </c>
      <c r="AT27" t="s">
        <v>381</v>
      </c>
      <c r="AU27">
        <v>0</v>
      </c>
      <c r="AV27">
        <v>0</v>
      </c>
      <c r="AW27">
        <v>0</v>
      </c>
      <c r="AX27" s="21" t="s">
        <v>518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0.125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s="21" t="s">
        <v>519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4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f t="shared" si="0"/>
        <v>1</v>
      </c>
      <c r="CT27">
        <v>0</v>
      </c>
      <c r="CU27">
        <v>0</v>
      </c>
      <c r="CV27">
        <v>0</v>
      </c>
      <c r="CW27">
        <v>0.125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15">
        <f t="shared" si="1"/>
        <v>6.25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</row>
    <row r="28" spans="1:151" x14ac:dyDescent="0.3">
      <c r="A28" t="s">
        <v>520</v>
      </c>
      <c r="B28">
        <v>15571</v>
      </c>
      <c r="C28">
        <v>55</v>
      </c>
      <c r="D28">
        <v>15409</v>
      </c>
      <c r="E28">
        <v>46</v>
      </c>
      <c r="F28">
        <v>0.98959604392781497</v>
      </c>
      <c r="G28">
        <v>0.83636363636363598</v>
      </c>
      <c r="H28" s="19">
        <v>1</v>
      </c>
      <c r="I28" s="19">
        <v>3615</v>
      </c>
      <c r="J28" s="19" t="s">
        <v>521</v>
      </c>
      <c r="K28" s="19">
        <v>3618</v>
      </c>
      <c r="L28" s="19" t="s">
        <v>522</v>
      </c>
      <c r="M28" s="19" t="s">
        <v>355</v>
      </c>
      <c r="N28" s="19" t="s">
        <v>522</v>
      </c>
      <c r="O28" s="19">
        <v>3618</v>
      </c>
      <c r="P28" s="19" t="s">
        <v>523</v>
      </c>
      <c r="Q28" s="17">
        <v>1</v>
      </c>
      <c r="R28" s="17">
        <v>3615</v>
      </c>
      <c r="S28" s="17" t="s">
        <v>521</v>
      </c>
      <c r="T28" s="17" t="s">
        <v>366</v>
      </c>
      <c r="U28" s="17" t="s">
        <v>366</v>
      </c>
      <c r="V28" s="17" t="s">
        <v>367</v>
      </c>
      <c r="W28" s="17" t="s">
        <v>524</v>
      </c>
      <c r="X28" s="17">
        <v>1110386</v>
      </c>
      <c r="Y28" s="17" t="s">
        <v>364</v>
      </c>
      <c r="Z28" s="18">
        <v>1</v>
      </c>
      <c r="AA28" s="18">
        <v>3615</v>
      </c>
      <c r="AB28" s="18" t="s">
        <v>521</v>
      </c>
      <c r="AC28" s="18">
        <v>3618</v>
      </c>
      <c r="AD28" s="18" t="s">
        <v>522</v>
      </c>
      <c r="AE28" s="18" t="s">
        <v>355</v>
      </c>
      <c r="AF28" s="18" t="s">
        <v>522</v>
      </c>
      <c r="AG28" s="18">
        <v>3618</v>
      </c>
      <c r="AH28" s="18" t="s">
        <v>364</v>
      </c>
      <c r="AI28" s="20">
        <v>1</v>
      </c>
      <c r="AJ28" s="20">
        <v>3615</v>
      </c>
      <c r="AK28" s="20" t="s">
        <v>521</v>
      </c>
      <c r="AL28" s="20">
        <v>3618</v>
      </c>
      <c r="AM28" s="20" t="s">
        <v>522</v>
      </c>
      <c r="AN28" s="20" t="s">
        <v>355</v>
      </c>
      <c r="AO28" s="20" t="s">
        <v>522</v>
      </c>
      <c r="AP28" s="20">
        <v>3618</v>
      </c>
      <c r="AQ28" s="20" t="s">
        <v>525</v>
      </c>
      <c r="AR28" t="s">
        <v>526</v>
      </c>
      <c r="AS28">
        <v>6</v>
      </c>
      <c r="AT28" t="s">
        <v>381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f t="shared" si="0"/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5482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15">
        <f t="shared" si="1"/>
        <v>5482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</row>
    <row r="29" spans="1:151" x14ac:dyDescent="0.3">
      <c r="A29" t="s">
        <v>527</v>
      </c>
      <c r="B29">
        <v>2627</v>
      </c>
      <c r="C29">
        <v>53</v>
      </c>
      <c r="D29">
        <v>909</v>
      </c>
      <c r="E29">
        <v>5</v>
      </c>
      <c r="F29">
        <v>0.346022078416445</v>
      </c>
      <c r="G29">
        <v>9.4339622641509399E-2</v>
      </c>
      <c r="H29" s="12">
        <v>0.98</v>
      </c>
      <c r="I29" s="12">
        <v>4210</v>
      </c>
      <c r="J29" s="12" t="s">
        <v>99</v>
      </c>
      <c r="K29" s="12" t="s">
        <v>366</v>
      </c>
      <c r="L29" s="12" t="s">
        <v>366</v>
      </c>
      <c r="M29" s="12" t="s">
        <v>379</v>
      </c>
      <c r="N29" s="12" t="s">
        <v>99</v>
      </c>
      <c r="O29" s="12">
        <v>4210</v>
      </c>
      <c r="P29" s="12" t="s">
        <v>364</v>
      </c>
      <c r="Q29" s="17">
        <v>1</v>
      </c>
      <c r="R29" s="17" t="s">
        <v>366</v>
      </c>
      <c r="S29" s="17" t="s">
        <v>366</v>
      </c>
      <c r="T29" s="17" t="s">
        <v>366</v>
      </c>
      <c r="U29" s="17" t="s">
        <v>366</v>
      </c>
      <c r="V29" s="17" t="s">
        <v>386</v>
      </c>
      <c r="W29" s="17" t="s">
        <v>513</v>
      </c>
      <c r="X29" s="17">
        <v>91882</v>
      </c>
      <c r="Y29" s="17" t="s">
        <v>364</v>
      </c>
      <c r="Z29" s="14">
        <v>0.98</v>
      </c>
      <c r="AA29" s="14" t="s">
        <v>366</v>
      </c>
      <c r="AB29" s="14" t="s">
        <v>366</v>
      </c>
      <c r="AC29" s="14" t="s">
        <v>366</v>
      </c>
      <c r="AD29" s="14" t="s">
        <v>366</v>
      </c>
      <c r="AE29" s="14" t="s">
        <v>491</v>
      </c>
      <c r="AF29" s="14" t="s">
        <v>528</v>
      </c>
      <c r="AG29" s="14">
        <v>4209</v>
      </c>
      <c r="AH29" s="14" t="s">
        <v>364</v>
      </c>
      <c r="AI29" s="2">
        <v>0.98</v>
      </c>
      <c r="AJ29" s="2">
        <v>4210</v>
      </c>
      <c r="AK29" s="2" t="s">
        <v>99</v>
      </c>
      <c r="AL29" s="2" t="s">
        <v>366</v>
      </c>
      <c r="AM29" s="2" t="s">
        <v>366</v>
      </c>
      <c r="AN29" s="2" t="s">
        <v>379</v>
      </c>
      <c r="AO29" s="2" t="s">
        <v>99</v>
      </c>
      <c r="AP29" s="2">
        <v>4210</v>
      </c>
      <c r="AQ29" s="2" t="s">
        <v>364</v>
      </c>
      <c r="AR29" t="s">
        <v>529</v>
      </c>
      <c r="AS29">
        <v>6</v>
      </c>
      <c r="AT29" t="s">
        <v>381</v>
      </c>
      <c r="AU29">
        <v>0</v>
      </c>
      <c r="AV29">
        <v>0</v>
      </c>
      <c r="AW29">
        <v>0</v>
      </c>
      <c r="AX29">
        <v>5.7755525734341402E-3</v>
      </c>
      <c r="AY29">
        <v>5.0072781686633502E-3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0.25</v>
      </c>
      <c r="BI29">
        <v>0.25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1.08564143713193E-2</v>
      </c>
      <c r="BS29">
        <v>9.3483620914779301E-3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794</v>
      </c>
      <c r="CC29">
        <v>110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f t="shared" si="0"/>
        <v>4</v>
      </c>
      <c r="CT29">
        <v>0</v>
      </c>
      <c r="CU29">
        <v>0</v>
      </c>
      <c r="CV29">
        <v>0</v>
      </c>
      <c r="CW29">
        <v>0.25</v>
      </c>
      <c r="CX29">
        <v>9.44390927401699E-2</v>
      </c>
      <c r="CY29">
        <v>0</v>
      </c>
      <c r="CZ29">
        <v>0</v>
      </c>
      <c r="DA29">
        <v>0</v>
      </c>
      <c r="DB29">
        <v>0</v>
      </c>
      <c r="DC29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15">
        <f t="shared" si="1"/>
        <v>912.87542669994502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</row>
    <row r="30" spans="1:151" x14ac:dyDescent="0.3">
      <c r="A30" t="s">
        <v>530</v>
      </c>
      <c r="B30">
        <v>2473</v>
      </c>
      <c r="C30">
        <v>53</v>
      </c>
      <c r="D30">
        <v>1079</v>
      </c>
      <c r="E30">
        <v>6</v>
      </c>
      <c r="F30">
        <v>0.436312171451678</v>
      </c>
      <c r="G30">
        <v>0.113207547169811</v>
      </c>
      <c r="H30" s="12">
        <v>0.98</v>
      </c>
      <c r="I30" s="12">
        <v>4210</v>
      </c>
      <c r="J30" s="12" t="s">
        <v>99</v>
      </c>
      <c r="K30" s="12" t="s">
        <v>366</v>
      </c>
      <c r="L30" s="12" t="s">
        <v>366</v>
      </c>
      <c r="M30" s="12" t="s">
        <v>379</v>
      </c>
      <c r="N30" s="12" t="s">
        <v>99</v>
      </c>
      <c r="O30" s="12">
        <v>4210</v>
      </c>
      <c r="P30" s="12" t="s">
        <v>364</v>
      </c>
      <c r="Q30" s="17">
        <v>1</v>
      </c>
      <c r="R30" s="17">
        <v>4210</v>
      </c>
      <c r="S30" s="17" t="s">
        <v>99</v>
      </c>
      <c r="T30" s="17" t="s">
        <v>366</v>
      </c>
      <c r="U30" s="17" t="s">
        <v>366</v>
      </c>
      <c r="V30" s="17" t="s">
        <v>367</v>
      </c>
      <c r="W30" s="17" t="s">
        <v>531</v>
      </c>
      <c r="X30" s="17">
        <v>102814</v>
      </c>
      <c r="Y30" s="17" t="s">
        <v>364</v>
      </c>
      <c r="Z30" s="14">
        <v>0.98</v>
      </c>
      <c r="AA30" s="14" t="s">
        <v>366</v>
      </c>
      <c r="AB30" s="14" t="s">
        <v>366</v>
      </c>
      <c r="AC30" s="14" t="s">
        <v>366</v>
      </c>
      <c r="AD30" s="14" t="s">
        <v>366</v>
      </c>
      <c r="AE30" s="14" t="s">
        <v>491</v>
      </c>
      <c r="AF30" s="14" t="s">
        <v>528</v>
      </c>
      <c r="AG30" s="14">
        <v>4209</v>
      </c>
      <c r="AH30" s="14" t="s">
        <v>364</v>
      </c>
      <c r="AI30" s="2">
        <v>0.98</v>
      </c>
      <c r="AJ30" s="2">
        <v>4210</v>
      </c>
      <c r="AK30" s="2" t="s">
        <v>99</v>
      </c>
      <c r="AL30" s="2" t="s">
        <v>366</v>
      </c>
      <c r="AM30" s="2" t="s">
        <v>366</v>
      </c>
      <c r="AN30" s="2" t="s">
        <v>379</v>
      </c>
      <c r="AO30" s="2" t="s">
        <v>99</v>
      </c>
      <c r="AP30" s="2">
        <v>4210</v>
      </c>
      <c r="AQ30" s="2" t="s">
        <v>364</v>
      </c>
      <c r="AR30" t="s">
        <v>532</v>
      </c>
      <c r="AS30">
        <v>6</v>
      </c>
      <c r="AT30" t="s">
        <v>381</v>
      </c>
      <c r="AU30">
        <v>0</v>
      </c>
      <c r="AV30">
        <v>0</v>
      </c>
      <c r="AW30">
        <v>0</v>
      </c>
      <c r="AX30">
        <v>5.2008523505354303E-3</v>
      </c>
      <c r="AY30">
        <v>7.0855321347410398E-3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0.25</v>
      </c>
      <c r="BI30">
        <v>0.25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1.0091253786971399E-2</v>
      </c>
      <c r="BS30">
        <v>1.3345846556732601E-2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475</v>
      </c>
      <c r="CC30">
        <v>230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2</v>
      </c>
      <c r="CM30">
        <v>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f t="shared" si="0"/>
        <v>4</v>
      </c>
      <c r="CT30">
        <v>0</v>
      </c>
      <c r="CU30">
        <v>0</v>
      </c>
      <c r="CV30">
        <v>0</v>
      </c>
      <c r="CW30">
        <v>0.25</v>
      </c>
      <c r="CX30">
        <v>0.14409317803660601</v>
      </c>
      <c r="CY30">
        <v>0</v>
      </c>
      <c r="CZ30">
        <v>0</v>
      </c>
      <c r="DA30">
        <v>0</v>
      </c>
      <c r="DB30">
        <v>0</v>
      </c>
      <c r="DC30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15">
        <f t="shared" si="1"/>
        <v>713.92981666286562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</row>
    <row r="31" spans="1:151" x14ac:dyDescent="0.3">
      <c r="A31" t="s">
        <v>533</v>
      </c>
      <c r="B31">
        <v>1368</v>
      </c>
      <c r="C31">
        <v>47</v>
      </c>
      <c r="D31">
        <v>325</v>
      </c>
      <c r="E31">
        <v>5</v>
      </c>
      <c r="F31">
        <v>0.23757309941520499</v>
      </c>
      <c r="G31">
        <v>0.10638297872340401</v>
      </c>
      <c r="H31" s="12">
        <v>0.98</v>
      </c>
      <c r="I31" s="12">
        <v>4210</v>
      </c>
      <c r="J31" s="12" t="s">
        <v>99</v>
      </c>
      <c r="K31" s="12" t="s">
        <v>366</v>
      </c>
      <c r="L31" s="12" t="s">
        <v>366</v>
      </c>
      <c r="M31" s="12" t="s">
        <v>379</v>
      </c>
      <c r="N31" s="12" t="s">
        <v>99</v>
      </c>
      <c r="O31" s="12">
        <v>4210</v>
      </c>
      <c r="P31" s="12" t="s">
        <v>364</v>
      </c>
      <c r="Q31" s="17">
        <v>1</v>
      </c>
      <c r="R31" s="17">
        <v>4210</v>
      </c>
      <c r="S31" s="17" t="s">
        <v>99</v>
      </c>
      <c r="T31" s="17">
        <v>996388</v>
      </c>
      <c r="U31" s="17" t="s">
        <v>534</v>
      </c>
      <c r="V31" s="17" t="s">
        <v>357</v>
      </c>
      <c r="W31" s="17" t="s">
        <v>535</v>
      </c>
      <c r="X31" s="17">
        <v>2599320</v>
      </c>
      <c r="Y31" s="17" t="s">
        <v>536</v>
      </c>
      <c r="Z31" s="14">
        <v>0.98</v>
      </c>
      <c r="AA31" s="14" t="s">
        <v>366</v>
      </c>
      <c r="AB31" s="14" t="s">
        <v>366</v>
      </c>
      <c r="AC31" s="14" t="s">
        <v>366</v>
      </c>
      <c r="AD31" s="14" t="s">
        <v>366</v>
      </c>
      <c r="AE31" s="14" t="s">
        <v>491</v>
      </c>
      <c r="AF31" s="14" t="s">
        <v>528</v>
      </c>
      <c r="AG31" s="14">
        <v>4209</v>
      </c>
      <c r="AH31" s="14" t="s">
        <v>364</v>
      </c>
      <c r="AI31" s="2">
        <v>0.98</v>
      </c>
      <c r="AJ31" s="2">
        <v>4210</v>
      </c>
      <c r="AK31" s="2" t="s">
        <v>99</v>
      </c>
      <c r="AL31" s="2" t="s">
        <v>366</v>
      </c>
      <c r="AM31" s="2" t="s">
        <v>366</v>
      </c>
      <c r="AN31" s="2" t="s">
        <v>379</v>
      </c>
      <c r="AO31" s="2" t="s">
        <v>99</v>
      </c>
      <c r="AP31" s="2">
        <v>4210</v>
      </c>
      <c r="AQ31" s="2" t="s">
        <v>364</v>
      </c>
      <c r="AR31" t="s">
        <v>537</v>
      </c>
      <c r="AS31">
        <v>6</v>
      </c>
      <c r="AT31" t="s">
        <v>381</v>
      </c>
      <c r="AU31">
        <v>0</v>
      </c>
      <c r="AV31">
        <v>0</v>
      </c>
      <c r="AW31">
        <v>0</v>
      </c>
      <c r="AX31">
        <v>5.82556591211718E-3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0.125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1.6477188642828999E-2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105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f t="shared" si="0"/>
        <v>1</v>
      </c>
      <c r="CT31">
        <v>0</v>
      </c>
      <c r="CU31">
        <v>0</v>
      </c>
      <c r="CV31">
        <v>0</v>
      </c>
      <c r="CW31">
        <v>0.125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15">
        <f t="shared" si="1"/>
        <v>107.27230275455494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</row>
    <row r="32" spans="1:151" x14ac:dyDescent="0.3">
      <c r="A32" t="s">
        <v>538</v>
      </c>
      <c r="B32">
        <v>2517</v>
      </c>
      <c r="C32">
        <v>49</v>
      </c>
      <c r="D32">
        <v>559</v>
      </c>
      <c r="E32">
        <v>7</v>
      </c>
      <c r="F32">
        <v>0.222089789431863</v>
      </c>
      <c r="G32">
        <v>0.14285714285714299</v>
      </c>
      <c r="H32" s="12">
        <v>0.98</v>
      </c>
      <c r="I32" s="12">
        <v>4210</v>
      </c>
      <c r="J32" s="12" t="s">
        <v>99</v>
      </c>
      <c r="K32" s="12" t="s">
        <v>366</v>
      </c>
      <c r="L32" s="12" t="s">
        <v>366</v>
      </c>
      <c r="M32" s="12" t="s">
        <v>379</v>
      </c>
      <c r="N32" s="12" t="s">
        <v>99</v>
      </c>
      <c r="O32" s="12">
        <v>4210</v>
      </c>
      <c r="P32" s="12" t="s">
        <v>364</v>
      </c>
      <c r="Q32" s="17">
        <v>1</v>
      </c>
      <c r="R32" s="17">
        <v>4210</v>
      </c>
      <c r="S32" s="17" t="s">
        <v>99</v>
      </c>
      <c r="T32" s="17" t="s">
        <v>366</v>
      </c>
      <c r="U32" s="17" t="s">
        <v>366</v>
      </c>
      <c r="V32" s="17" t="s">
        <v>379</v>
      </c>
      <c r="W32" s="17" t="s">
        <v>99</v>
      </c>
      <c r="X32" s="17">
        <v>4210</v>
      </c>
      <c r="Y32" s="17" t="s">
        <v>364</v>
      </c>
      <c r="Z32" s="14">
        <v>0.98</v>
      </c>
      <c r="AA32" s="14" t="s">
        <v>366</v>
      </c>
      <c r="AB32" s="14" t="s">
        <v>366</v>
      </c>
      <c r="AC32" s="14" t="s">
        <v>366</v>
      </c>
      <c r="AD32" s="14" t="s">
        <v>366</v>
      </c>
      <c r="AE32" s="14" t="s">
        <v>491</v>
      </c>
      <c r="AF32" s="14" t="s">
        <v>528</v>
      </c>
      <c r="AG32" s="14">
        <v>4209</v>
      </c>
      <c r="AH32" s="14" t="s">
        <v>364</v>
      </c>
      <c r="AI32" s="2">
        <v>0.98</v>
      </c>
      <c r="AJ32" s="2">
        <v>4210</v>
      </c>
      <c r="AK32" s="2" t="s">
        <v>99</v>
      </c>
      <c r="AL32" s="2" t="s">
        <v>366</v>
      </c>
      <c r="AM32" s="2" t="s">
        <v>366</v>
      </c>
      <c r="AN32" s="2" t="s">
        <v>379</v>
      </c>
      <c r="AO32" s="2" t="s">
        <v>99</v>
      </c>
      <c r="AP32" s="2">
        <v>4210</v>
      </c>
      <c r="AQ32" s="2" t="s">
        <v>364</v>
      </c>
      <c r="AR32" t="s">
        <v>539</v>
      </c>
      <c r="AS32">
        <v>6</v>
      </c>
      <c r="AT32" t="s">
        <v>381</v>
      </c>
      <c r="AU32">
        <v>0</v>
      </c>
      <c r="AV32">
        <v>0</v>
      </c>
      <c r="AW32">
        <v>0</v>
      </c>
      <c r="AX32">
        <v>0</v>
      </c>
      <c r="AY32">
        <v>1.22330960854093E-3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0.125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3.4600420787597999E-3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f t="shared" si="0"/>
        <v>1</v>
      </c>
      <c r="CT32">
        <v>0</v>
      </c>
      <c r="CU32">
        <v>0</v>
      </c>
      <c r="CV32">
        <v>0</v>
      </c>
      <c r="CW32">
        <v>0</v>
      </c>
      <c r="CX32">
        <v>3.9372974866450701E-2</v>
      </c>
      <c r="CY32">
        <v>0</v>
      </c>
      <c r="CZ32">
        <v>0</v>
      </c>
      <c r="DA32">
        <v>0</v>
      </c>
      <c r="DB32">
        <v>0</v>
      </c>
      <c r="DC32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15">
        <f t="shared" si="1"/>
        <v>24.169056326553751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</row>
    <row r="33" spans="1:151" x14ac:dyDescent="0.3">
      <c r="A33" t="s">
        <v>540</v>
      </c>
      <c r="B33">
        <v>58899</v>
      </c>
      <c r="C33">
        <v>3</v>
      </c>
      <c r="D33">
        <v>58899</v>
      </c>
      <c r="E33">
        <v>3</v>
      </c>
      <c r="F33">
        <v>1</v>
      </c>
      <c r="G33">
        <v>1</v>
      </c>
      <c r="H33" s="12">
        <v>0.90196078431399995</v>
      </c>
      <c r="I33" s="12" t="s">
        <v>366</v>
      </c>
      <c r="J33" s="12" t="s">
        <v>366</v>
      </c>
      <c r="K33" s="12" t="s">
        <v>366</v>
      </c>
      <c r="L33" s="12" t="s">
        <v>366</v>
      </c>
      <c r="M33" s="12" t="s">
        <v>386</v>
      </c>
      <c r="N33" s="12" t="s">
        <v>541</v>
      </c>
      <c r="O33" s="12">
        <v>1437183</v>
      </c>
      <c r="P33" s="12" t="s">
        <v>364</v>
      </c>
      <c r="Q33" s="17">
        <v>1</v>
      </c>
      <c r="R33" s="17">
        <v>3803</v>
      </c>
      <c r="S33" s="17" t="s">
        <v>102</v>
      </c>
      <c r="T33" s="17" t="s">
        <v>366</v>
      </c>
      <c r="U33" s="17" t="s">
        <v>366</v>
      </c>
      <c r="V33" s="17" t="s">
        <v>386</v>
      </c>
      <c r="W33" s="17" t="s">
        <v>542</v>
      </c>
      <c r="X33" s="17">
        <v>2233855</v>
      </c>
      <c r="Y33" s="17" t="s">
        <v>364</v>
      </c>
      <c r="Z33" s="14">
        <v>0.96078431372499995</v>
      </c>
      <c r="AA33" s="14">
        <v>3803</v>
      </c>
      <c r="AB33" s="14" t="s">
        <v>102</v>
      </c>
      <c r="AC33" s="14">
        <v>53835</v>
      </c>
      <c r="AD33" s="14" t="s">
        <v>543</v>
      </c>
      <c r="AE33" s="14" t="s">
        <v>357</v>
      </c>
      <c r="AF33" s="14" t="s">
        <v>544</v>
      </c>
      <c r="AG33" s="14">
        <v>53836</v>
      </c>
      <c r="AH33" s="14" t="s">
        <v>545</v>
      </c>
      <c r="AI33" s="2">
        <v>0.90196078431399995</v>
      </c>
      <c r="AJ33" s="2" t="s">
        <v>366</v>
      </c>
      <c r="AK33" s="2" t="s">
        <v>366</v>
      </c>
      <c r="AL33" s="2" t="s">
        <v>366</v>
      </c>
      <c r="AM33" s="2" t="s">
        <v>366</v>
      </c>
      <c r="AN33" s="2" t="s">
        <v>386</v>
      </c>
      <c r="AO33" s="2" t="s">
        <v>541</v>
      </c>
      <c r="AP33" s="2">
        <v>1437183</v>
      </c>
      <c r="AQ33" s="2" t="s">
        <v>364</v>
      </c>
      <c r="AR33" t="s">
        <v>546</v>
      </c>
      <c r="AS33">
        <v>6</v>
      </c>
      <c r="AT33" t="s">
        <v>381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f t="shared" si="0"/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25425</v>
      </c>
      <c r="DW33" s="7">
        <v>0.125</v>
      </c>
      <c r="DX33" s="7">
        <v>0.35355339059327401</v>
      </c>
      <c r="DY33" s="7">
        <v>1</v>
      </c>
      <c r="DZ33" s="7">
        <v>0.125</v>
      </c>
      <c r="EA33" s="7">
        <v>0.125</v>
      </c>
      <c r="EB33" s="7">
        <v>0</v>
      </c>
      <c r="EC33" s="7">
        <v>787</v>
      </c>
      <c r="ED33" s="7">
        <v>0.125</v>
      </c>
      <c r="EE33" s="7">
        <v>0.35355339059327401</v>
      </c>
      <c r="EF33" s="7">
        <v>1</v>
      </c>
      <c r="EG33" s="7">
        <v>0.125</v>
      </c>
      <c r="EH33" s="7">
        <v>0.125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15">
        <f t="shared" si="1"/>
        <v>26215.457106781185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</row>
    <row r="34" spans="1:151" x14ac:dyDescent="0.3">
      <c r="A34" t="s">
        <v>547</v>
      </c>
      <c r="B34">
        <v>1012</v>
      </c>
      <c r="C34">
        <v>10</v>
      </c>
      <c r="D34">
        <v>1009</v>
      </c>
      <c r="E34">
        <v>8</v>
      </c>
      <c r="F34">
        <v>0.99703557312252999</v>
      </c>
      <c r="G34">
        <v>0.8</v>
      </c>
      <c r="H34" s="12">
        <v>0.96</v>
      </c>
      <c r="I34" s="12">
        <v>4210</v>
      </c>
      <c r="J34" s="12" t="s">
        <v>99</v>
      </c>
      <c r="K34" s="12" t="s">
        <v>366</v>
      </c>
      <c r="L34" s="12" t="s">
        <v>366</v>
      </c>
      <c r="M34" s="12" t="s">
        <v>379</v>
      </c>
      <c r="N34" s="12" t="s">
        <v>99</v>
      </c>
      <c r="O34" s="12">
        <v>4210</v>
      </c>
      <c r="P34" s="12" t="s">
        <v>364</v>
      </c>
      <c r="Q34" s="17">
        <v>1</v>
      </c>
      <c r="R34" s="17">
        <v>4210</v>
      </c>
      <c r="S34" s="17" t="s">
        <v>99</v>
      </c>
      <c r="T34" s="17">
        <v>130302</v>
      </c>
      <c r="U34" s="17" t="s">
        <v>548</v>
      </c>
      <c r="V34" s="17" t="s">
        <v>357</v>
      </c>
      <c r="W34" s="17" t="s">
        <v>549</v>
      </c>
      <c r="X34" s="17">
        <v>130303</v>
      </c>
      <c r="Y34" s="17" t="s">
        <v>550</v>
      </c>
      <c r="Z34" s="14">
        <v>0.96</v>
      </c>
      <c r="AA34" s="14" t="s">
        <v>366</v>
      </c>
      <c r="AB34" s="14" t="s">
        <v>366</v>
      </c>
      <c r="AC34" s="14" t="s">
        <v>366</v>
      </c>
      <c r="AD34" s="14" t="s">
        <v>366</v>
      </c>
      <c r="AE34" s="14" t="s">
        <v>386</v>
      </c>
      <c r="AF34" s="14" t="s">
        <v>513</v>
      </c>
      <c r="AG34" s="14">
        <v>91882</v>
      </c>
      <c r="AH34" s="14" t="s">
        <v>364</v>
      </c>
      <c r="AI34" s="2">
        <v>0.96</v>
      </c>
      <c r="AJ34" s="2">
        <v>4210</v>
      </c>
      <c r="AK34" s="2" t="s">
        <v>99</v>
      </c>
      <c r="AL34" s="2" t="s">
        <v>366</v>
      </c>
      <c r="AM34" s="2" t="s">
        <v>366</v>
      </c>
      <c r="AN34" s="2" t="s">
        <v>379</v>
      </c>
      <c r="AO34" s="2" t="s">
        <v>99</v>
      </c>
      <c r="AP34" s="2">
        <v>4210</v>
      </c>
      <c r="AQ34" s="2" t="s">
        <v>364</v>
      </c>
      <c r="AR34" t="s">
        <v>551</v>
      </c>
      <c r="AS34">
        <v>6</v>
      </c>
      <c r="AT34" t="s">
        <v>361</v>
      </c>
      <c r="AU34">
        <v>0</v>
      </c>
      <c r="AV34">
        <v>0</v>
      </c>
      <c r="AW34">
        <v>0</v>
      </c>
      <c r="AX34">
        <v>2.9227221536976501E-3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0.125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8.2667066176150203E-3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872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f t="shared" si="0"/>
        <v>1</v>
      </c>
      <c r="CT34">
        <v>0</v>
      </c>
      <c r="CU34">
        <v>0</v>
      </c>
      <c r="CV34">
        <v>0</v>
      </c>
      <c r="CW34">
        <v>0.125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15">
        <f t="shared" si="1"/>
        <v>874.26118942877133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</row>
    <row r="35" spans="1:151" x14ac:dyDescent="0.3">
      <c r="A35" t="s">
        <v>552</v>
      </c>
      <c r="B35">
        <v>894</v>
      </c>
      <c r="C35">
        <v>3</v>
      </c>
      <c r="D35">
        <v>894</v>
      </c>
      <c r="E35">
        <v>3</v>
      </c>
      <c r="F35">
        <v>1</v>
      </c>
      <c r="G35">
        <v>1</v>
      </c>
      <c r="H35" s="12">
        <v>0.92</v>
      </c>
      <c r="I35" s="12">
        <v>4381</v>
      </c>
      <c r="J35" s="12" t="s">
        <v>104</v>
      </c>
      <c r="K35" s="12">
        <v>40568</v>
      </c>
      <c r="L35" s="12" t="s">
        <v>553</v>
      </c>
      <c r="M35" s="12" t="s">
        <v>355</v>
      </c>
      <c r="N35" s="12" t="s">
        <v>553</v>
      </c>
      <c r="O35" s="12">
        <v>40568</v>
      </c>
      <c r="P35" s="12" t="s">
        <v>554</v>
      </c>
      <c r="Q35" s="17">
        <v>1</v>
      </c>
      <c r="R35" s="17">
        <v>4381</v>
      </c>
      <c r="S35" s="17" t="s">
        <v>104</v>
      </c>
      <c r="T35" s="17">
        <v>239476</v>
      </c>
      <c r="U35" s="17" t="s">
        <v>555</v>
      </c>
      <c r="V35" s="17" t="s">
        <v>357</v>
      </c>
      <c r="W35" s="17" t="s">
        <v>556</v>
      </c>
      <c r="X35" s="17">
        <v>239477</v>
      </c>
      <c r="Y35" s="17" t="s">
        <v>557</v>
      </c>
      <c r="Z35" s="14">
        <v>0.92</v>
      </c>
      <c r="AA35" s="14">
        <v>4381</v>
      </c>
      <c r="AB35" s="14" t="s">
        <v>104</v>
      </c>
      <c r="AC35" s="14" t="s">
        <v>366</v>
      </c>
      <c r="AD35" s="14" t="s">
        <v>366</v>
      </c>
      <c r="AE35" s="14" t="s">
        <v>379</v>
      </c>
      <c r="AF35" s="14" t="s">
        <v>104</v>
      </c>
      <c r="AG35" s="14">
        <v>4381</v>
      </c>
      <c r="AH35" s="14" t="s">
        <v>364</v>
      </c>
      <c r="AI35" s="2">
        <v>0.92</v>
      </c>
      <c r="AJ35" s="2">
        <v>4381</v>
      </c>
      <c r="AK35" s="2" t="s">
        <v>104</v>
      </c>
      <c r="AL35" s="2" t="s">
        <v>366</v>
      </c>
      <c r="AM35" s="2" t="s">
        <v>366</v>
      </c>
      <c r="AN35" s="2" t="s">
        <v>379</v>
      </c>
      <c r="AO35" s="2" t="s">
        <v>104</v>
      </c>
      <c r="AP35" s="2">
        <v>4381</v>
      </c>
      <c r="AQ35" s="2" t="s">
        <v>558</v>
      </c>
      <c r="AR35" t="s">
        <v>559</v>
      </c>
      <c r="AS35">
        <v>6</v>
      </c>
      <c r="AT35" t="s">
        <v>381</v>
      </c>
      <c r="AU35">
        <v>0</v>
      </c>
      <c r="AV35">
        <v>0</v>
      </c>
      <c r="AW35">
        <v>0</v>
      </c>
      <c r="AX35">
        <v>5.5196788550484297E-3</v>
      </c>
      <c r="AY35">
        <v>1.24188117389847E-2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0.125</v>
      </c>
      <c r="BI35">
        <v>0.25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1.5612009393506999E-2</v>
      </c>
      <c r="BS35">
        <v>2.6532938887751399E-2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506</v>
      </c>
      <c r="CC35">
        <v>388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2</v>
      </c>
      <c r="CN35">
        <v>0</v>
      </c>
      <c r="CO35">
        <v>0</v>
      </c>
      <c r="CP35">
        <v>0</v>
      </c>
      <c r="CQ35">
        <v>0</v>
      </c>
      <c r="CR35">
        <v>0</v>
      </c>
      <c r="CS35">
        <f t="shared" si="0"/>
        <v>3</v>
      </c>
      <c r="CT35">
        <v>0</v>
      </c>
      <c r="CU35">
        <v>0</v>
      </c>
      <c r="CV35">
        <v>0</v>
      </c>
      <c r="CW35">
        <v>0.125</v>
      </c>
      <c r="CX35">
        <v>0.117488396532096</v>
      </c>
      <c r="CY35">
        <v>0</v>
      </c>
      <c r="CZ35">
        <v>0</v>
      </c>
      <c r="DA35">
        <v>0</v>
      </c>
      <c r="DB35">
        <v>0</v>
      </c>
      <c r="DC35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15">
        <f t="shared" si="1"/>
        <v>900.67757183540732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</row>
  </sheetData>
  <autoFilter ref="A1:EU1" xr:uid="{B9E80BA9-3FAF-4F9E-B771-EE071D5CE1B8}">
    <sortState xmlns:xlrd2="http://schemas.microsoft.com/office/spreadsheetml/2017/richdata2" ref="A2:EU35">
      <sortCondition descending="1" ref="Z1"/>
    </sortState>
  </autoFilter>
  <conditionalFormatting sqref="CI1:CR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{EF039D1B-6687-4326-8736-41D79AED76C6}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39D1B-6687-4326-8736-41D79AED76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CI1:CR1048576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3"/>
  <sheetViews>
    <sheetView zoomScale="85" zoomScaleNormal="85" workbookViewId="0">
      <selection activeCell="F35" sqref="F35"/>
    </sheetView>
  </sheetViews>
  <sheetFormatPr defaultColWidth="8.88671875" defaultRowHeight="14.4" x14ac:dyDescent="0.3"/>
  <cols>
    <col min="1" max="1" width="12" bestFit="1" customWidth="1"/>
    <col min="2" max="2" width="8.33203125" bestFit="1" customWidth="1"/>
    <col min="3" max="3" width="10.33203125" bestFit="1" customWidth="1"/>
    <col min="4" max="4" width="9.109375" customWidth="1"/>
    <col min="5" max="5" width="7.33203125" bestFit="1" customWidth="1"/>
    <col min="6" max="6" width="8.77734375" bestFit="1" customWidth="1"/>
    <col min="13" max="13" width="14" bestFit="1" customWidth="1"/>
    <col min="14" max="14" width="14" customWidth="1"/>
  </cols>
  <sheetData>
    <row r="1" spans="1:88" ht="17.399999999999999" x14ac:dyDescent="0.35">
      <c r="A1" t="s">
        <v>0</v>
      </c>
      <c r="B1" t="s">
        <v>1</v>
      </c>
      <c r="C1" t="s">
        <v>2</v>
      </c>
      <c r="D1" t="s">
        <v>79</v>
      </c>
      <c r="E1" t="s">
        <v>80</v>
      </c>
      <c r="F1" t="s">
        <v>81</v>
      </c>
      <c r="G1" t="s">
        <v>4</v>
      </c>
      <c r="H1" t="s">
        <v>3</v>
      </c>
      <c r="I1" t="s">
        <v>5</v>
      </c>
      <c r="J1" t="s">
        <v>6</v>
      </c>
      <c r="K1" s="8" t="s">
        <v>38</v>
      </c>
      <c r="L1" s="8" t="s">
        <v>61</v>
      </c>
      <c r="M1" s="8" t="s">
        <v>90</v>
      </c>
      <c r="N1" s="8" t="s">
        <v>87</v>
      </c>
      <c r="O1" s="8" t="s">
        <v>63</v>
      </c>
      <c r="P1" s="8" t="s">
        <v>85</v>
      </c>
      <c r="Q1" s="8" t="s">
        <v>64</v>
      </c>
      <c r="R1" s="8" t="s">
        <v>39</v>
      </c>
      <c r="S1" s="8" t="s">
        <v>40</v>
      </c>
      <c r="T1" s="8" t="s">
        <v>41</v>
      </c>
      <c r="U1" s="8" t="s">
        <v>42</v>
      </c>
      <c r="V1" s="8" t="s">
        <v>43</v>
      </c>
      <c r="W1" s="8" t="s">
        <v>44</v>
      </c>
      <c r="X1" s="8" t="s">
        <v>45</v>
      </c>
      <c r="Y1" s="8" t="s">
        <v>46</v>
      </c>
      <c r="Z1" s="8" t="s">
        <v>47</v>
      </c>
      <c r="AA1" s="8" t="s">
        <v>48</v>
      </c>
      <c r="AB1" s="8" t="s">
        <v>49</v>
      </c>
      <c r="AC1" s="8" t="s">
        <v>50</v>
      </c>
      <c r="AD1" s="8" t="s">
        <v>51</v>
      </c>
      <c r="AE1" s="8" t="s">
        <v>52</v>
      </c>
      <c r="AF1" s="8" t="s">
        <v>53</v>
      </c>
      <c r="AG1" s="8" t="s">
        <v>54</v>
      </c>
      <c r="AH1" s="8" t="s">
        <v>55</v>
      </c>
      <c r="AI1" s="8" t="s">
        <v>56</v>
      </c>
      <c r="AJ1" s="8" t="s">
        <v>57</v>
      </c>
      <c r="AK1" s="8" t="s">
        <v>58</v>
      </c>
      <c r="AL1" s="8" t="s">
        <v>59</v>
      </c>
      <c r="AM1" s="8" t="s">
        <v>60</v>
      </c>
      <c r="AO1" s="9" t="s">
        <v>122</v>
      </c>
      <c r="AP1" s="9" t="s">
        <v>123</v>
      </c>
      <c r="AQ1" s="9" t="s">
        <v>124</v>
      </c>
      <c r="AR1" s="9" t="s">
        <v>125</v>
      </c>
      <c r="AS1" s="9" t="s">
        <v>126</v>
      </c>
      <c r="AT1" s="9" t="s">
        <v>127</v>
      </c>
      <c r="AU1" s="9" t="s">
        <v>128</v>
      </c>
      <c r="AV1" s="9" t="s">
        <v>129</v>
      </c>
      <c r="AW1" s="9" t="s">
        <v>130</v>
      </c>
      <c r="AX1" s="9" t="s">
        <v>131</v>
      </c>
      <c r="AY1" s="9" t="s">
        <v>132</v>
      </c>
      <c r="AZ1" s="9" t="s">
        <v>133</v>
      </c>
      <c r="BA1" s="9" t="s">
        <v>134</v>
      </c>
      <c r="BB1" s="9" t="s">
        <v>135</v>
      </c>
      <c r="BC1" s="9" t="s">
        <v>136</v>
      </c>
      <c r="BD1" s="9" t="s">
        <v>137</v>
      </c>
      <c r="BE1" s="9" t="s">
        <v>138</v>
      </c>
      <c r="BF1" s="9" t="s">
        <v>139</v>
      </c>
      <c r="BG1" s="9" t="s">
        <v>140</v>
      </c>
      <c r="BH1" s="9" t="s">
        <v>141</v>
      </c>
      <c r="BI1" s="9" t="s">
        <v>142</v>
      </c>
      <c r="BJ1" s="9" t="s">
        <v>143</v>
      </c>
      <c r="BK1" s="9" t="s">
        <v>121</v>
      </c>
      <c r="BL1" s="9" t="s">
        <v>144</v>
      </c>
      <c r="BM1" s="9" t="s">
        <v>66</v>
      </c>
      <c r="BN1" s="9" t="s">
        <v>145</v>
      </c>
      <c r="BO1" s="9" t="s">
        <v>67</v>
      </c>
      <c r="BP1" s="9" t="s">
        <v>146</v>
      </c>
      <c r="BQ1" s="9" t="s">
        <v>68</v>
      </c>
      <c r="BR1" s="9" t="s">
        <v>147</v>
      </c>
      <c r="BS1" s="9" t="s">
        <v>69</v>
      </c>
      <c r="BT1" s="9" t="s">
        <v>148</v>
      </c>
      <c r="BU1" s="9" t="s">
        <v>70</v>
      </c>
      <c r="BV1" s="9" t="s">
        <v>149</v>
      </c>
      <c r="BW1" s="9" t="s">
        <v>71</v>
      </c>
      <c r="BX1" s="9" t="s">
        <v>150</v>
      </c>
      <c r="BY1" s="9" t="s">
        <v>72</v>
      </c>
      <c r="BZ1" s="9" t="s">
        <v>151</v>
      </c>
      <c r="CA1" s="9" t="s">
        <v>73</v>
      </c>
      <c r="CB1" s="9" t="s">
        <v>152</v>
      </c>
      <c r="CC1" s="9" t="s">
        <v>74</v>
      </c>
      <c r="CD1" s="9" t="s">
        <v>153</v>
      </c>
      <c r="CE1" s="9" t="s">
        <v>75</v>
      </c>
      <c r="CF1" s="9" t="s">
        <v>154</v>
      </c>
      <c r="CG1" s="9" t="s">
        <v>76</v>
      </c>
      <c r="CH1" s="9" t="s">
        <v>155</v>
      </c>
      <c r="CI1" s="9" t="s">
        <v>77</v>
      </c>
      <c r="CJ1" s="9" t="s">
        <v>156</v>
      </c>
    </row>
    <row r="2" spans="1:88" x14ac:dyDescent="0.3">
      <c r="A2" t="s">
        <v>7</v>
      </c>
      <c r="B2" t="s">
        <v>8</v>
      </c>
      <c r="C2">
        <v>225</v>
      </c>
      <c r="D2">
        <v>24925</v>
      </c>
      <c r="E2">
        <v>24313</v>
      </c>
      <c r="F2">
        <v>25643</v>
      </c>
      <c r="H2" t="s">
        <v>9</v>
      </c>
      <c r="I2" t="s">
        <v>9</v>
      </c>
      <c r="J2">
        <v>5069</v>
      </c>
      <c r="K2">
        <v>5069</v>
      </c>
      <c r="L2">
        <f>0.5*(((AB2+AD2+AF2+AH2+AJ2)/(AA2+AC2+AE2+AG2+AI2))+((AB2+AD2+AF2+AH2+AJ2)/(AC2+AE2+AG2+AI2+AK2)))</f>
        <v>3.0083277330687528</v>
      </c>
      <c r="M2">
        <f>((27*AD2)+(29*AF2)+(31*AH2)+(33*AJ2)+(35*AL2))/(AD2+AF2+AH2+AJ2+AL2)</f>
        <v>29.844183419923198</v>
      </c>
      <c r="N2">
        <f>((V2*19)+(X2*21)+(Z2*23)+(AB2*25)+(27*AD2)+(29*AF2)+(31*AH2)+(33*AJ2))/(V2+X2+Z2+AB2+AD2+AF2+AH2+AJ2)</f>
        <v>26.596427453718192</v>
      </c>
      <c r="O2">
        <f>Z2/(Z2+AH2+AJ2+AL2)</f>
        <v>0.47569926601864715</v>
      </c>
      <c r="P2">
        <f>((Z2+AB2)/(Z2+AB2+AF2+AH2))</f>
        <v>0.52572002215452784</v>
      </c>
      <c r="Q2">
        <f>AH2/AF2</f>
        <v>1.0590622182146077</v>
      </c>
      <c r="R2">
        <v>0</v>
      </c>
      <c r="S2">
        <v>9.0707964601769928E-3</v>
      </c>
      <c r="T2">
        <v>1.4657079646017701E-2</v>
      </c>
      <c r="U2">
        <v>1.9579646017699119E-2</v>
      </c>
      <c r="V2">
        <v>7.4391592920353994E-2</v>
      </c>
      <c r="W2">
        <v>3.4789823008849564E-2</v>
      </c>
      <c r="X2">
        <v>0.16742256637168143</v>
      </c>
      <c r="Y2">
        <v>0.30901548672566376</v>
      </c>
      <c r="Z2">
        <v>0.53053097345132749</v>
      </c>
      <c r="AA2">
        <v>0.38921460176991157</v>
      </c>
      <c r="AB2">
        <v>0.30945796460177</v>
      </c>
      <c r="AC2">
        <v>0.26194690265486725</v>
      </c>
      <c r="AD2">
        <v>0.27151548672566378</v>
      </c>
      <c r="AE2">
        <v>1.4435840707964604E-2</v>
      </c>
      <c r="AF2">
        <v>0.36803097345132751</v>
      </c>
      <c r="AG2">
        <v>6.1338495575221245E-2</v>
      </c>
      <c r="AH2">
        <v>0.38976769911504433</v>
      </c>
      <c r="AI2">
        <v>3.3683628318584076E-2</v>
      </c>
      <c r="AJ2">
        <v>0.18639380530973457</v>
      </c>
      <c r="AK2">
        <v>8.7942477876106224E-3</v>
      </c>
      <c r="AL2">
        <v>8.573008849557525E-3</v>
      </c>
      <c r="AM2">
        <v>0</v>
      </c>
      <c r="AN2" s="10">
        <v>5069</v>
      </c>
      <c r="AO2" s="4">
        <v>-214.97700706702042</v>
      </c>
      <c r="AP2" s="4">
        <v>1.6650205837119523</v>
      </c>
      <c r="AQ2" s="4">
        <v>-185.78411044399161</v>
      </c>
      <c r="AR2" s="4">
        <v>0.52821757231373612</v>
      </c>
      <c r="AS2" s="4">
        <v>-187.37383081678553</v>
      </c>
      <c r="AT2" s="4">
        <v>0.25155522125550295</v>
      </c>
      <c r="AU2" s="4">
        <v>-184.88745104527101</v>
      </c>
      <c r="AV2" s="4">
        <v>1.3705722814584618</v>
      </c>
      <c r="AW2" s="4">
        <v>-188.0000719848268</v>
      </c>
      <c r="AX2" s="4">
        <v>4.4589218531052781</v>
      </c>
      <c r="AY2" s="4">
        <v>-191.07480305343898</v>
      </c>
      <c r="AZ2" s="4">
        <v>1.8880900269706737</v>
      </c>
      <c r="BA2" s="4">
        <v>-197.61259690389502</v>
      </c>
      <c r="BB2" s="4">
        <v>3.7828085938624314</v>
      </c>
      <c r="BC2" s="4">
        <v>-203.18369752623363</v>
      </c>
      <c r="BD2" s="4">
        <v>1.0641905414806674</v>
      </c>
      <c r="BE2" s="4">
        <v>-204.6104137297562</v>
      </c>
      <c r="BF2" s="4">
        <v>0.28024421841092689</v>
      </c>
      <c r="BG2" s="4">
        <v>-188.42251124778045</v>
      </c>
      <c r="BH2" s="4">
        <v>4.3808320700418459</v>
      </c>
      <c r="BI2" s="4">
        <v>-191.47146277750875</v>
      </c>
      <c r="BJ2" s="4">
        <v>2.4467261457861289</v>
      </c>
      <c r="BK2" s="4">
        <v>-32.706911862573108</v>
      </c>
      <c r="BL2" s="4">
        <v>1.9061170033561643</v>
      </c>
      <c r="BM2" s="4">
        <v>-42.067204447389344</v>
      </c>
      <c r="BN2" s="4">
        <v>0.74975286150126252</v>
      </c>
      <c r="BO2" s="4">
        <v>-31.26013397320628</v>
      </c>
      <c r="BP2" s="4">
        <v>7.2775118509918219E-2</v>
      </c>
      <c r="BQ2" s="4">
        <v>-30.704770209768814</v>
      </c>
      <c r="BR2" s="4">
        <v>1.0750324864433565E-2</v>
      </c>
      <c r="BS2" s="4">
        <v>-31.207487041152262</v>
      </c>
      <c r="BT2" s="4">
        <v>6.5958406545599285E-2</v>
      </c>
      <c r="BU2" s="4">
        <v>-30.454184180180086</v>
      </c>
      <c r="BV2" s="4">
        <v>6.1312045839706578E-2</v>
      </c>
      <c r="BW2" s="4">
        <v>-31.077016631381291</v>
      </c>
      <c r="BX2" s="4">
        <v>5.214290857714126E-2</v>
      </c>
      <c r="BY2" s="4">
        <v>-30.534491627779985</v>
      </c>
      <c r="BZ2" s="4">
        <v>0.49889285729084848</v>
      </c>
      <c r="CA2" s="4">
        <v>-32.019327287663913</v>
      </c>
      <c r="CB2" s="4">
        <v>2.1706249933099844E-2</v>
      </c>
      <c r="CC2" s="4">
        <v>-31.604565312929157</v>
      </c>
      <c r="CD2" s="4">
        <v>0.29830441071449604</v>
      </c>
      <c r="CE2" s="4">
        <v>-33.21556357910471</v>
      </c>
      <c r="CF2" s="4">
        <v>0.1827213731547509</v>
      </c>
      <c r="CG2" s="4">
        <v>-32.497071466565941</v>
      </c>
      <c r="CH2" s="4">
        <v>0.31197897411883613</v>
      </c>
      <c r="CI2" s="4">
        <v>-34.390846212321101</v>
      </c>
      <c r="CJ2" s="4">
        <v>0.23785317017239976</v>
      </c>
    </row>
    <row r="3" spans="1:88" x14ac:dyDescent="0.3">
      <c r="A3" t="s">
        <v>7</v>
      </c>
      <c r="B3" t="s">
        <v>10</v>
      </c>
      <c r="C3">
        <v>224</v>
      </c>
      <c r="D3">
        <v>24688</v>
      </c>
      <c r="E3">
        <v>24124</v>
      </c>
      <c r="F3">
        <v>25414</v>
      </c>
      <c r="H3" t="s">
        <v>11</v>
      </c>
      <c r="I3" t="s">
        <v>9</v>
      </c>
      <c r="J3">
        <v>4929</v>
      </c>
      <c r="K3">
        <v>4929</v>
      </c>
      <c r="L3">
        <f>0.5*(((AB3+AD3+AF3+AH3+AJ3)/(AA3+AC3+AE3+AG3+AI3))+((AB3+AD3+AF3+AH3+AJ3)/(AC3+AE3+AG3+AI3+AK3)))</f>
        <v>2.5042237708469921</v>
      </c>
      <c r="M3">
        <f>((27*AD3)+(29*AF3)+(31*AH3)+(33*AJ3)+(35*AL3))/(AD3+AF3+AH3+AJ3+AL3)</f>
        <v>29.879500148765249</v>
      </c>
      <c r="N3">
        <f t="shared" ref="N3:N28" si="0">((V3*19)+(X3*21)+(Z3*23)+(AB3*25)+(27*AD3)+(29*AF3)+(31*AH3)+(33*AJ3))/(V3+X3+Z3+AB3+AD3+AF3+AH3+AJ3)</f>
        <v>24.133952163252168</v>
      </c>
      <c r="O3">
        <f>Z3/(Z3+AH3+AJ3+AL3)</f>
        <v>0.69891503153339174</v>
      </c>
      <c r="P3">
        <f t="shared" ref="P3:P28" si="1">((Z3+AB3)/(Z3+AB3+AF3+AH3))</f>
        <v>0.68581975057917788</v>
      </c>
      <c r="Q3">
        <f>AH3/AF3</f>
        <v>1.0498154981549817</v>
      </c>
      <c r="R3">
        <v>0</v>
      </c>
      <c r="S3">
        <v>3.7584955611940554E-3</v>
      </c>
      <c r="T3">
        <v>6.458259978389785E-3</v>
      </c>
      <c r="U3">
        <v>1.1857788812781244E-2</v>
      </c>
      <c r="V3">
        <v>4.7695838037124565E-2</v>
      </c>
      <c r="W3">
        <v>5.9077197835106558E-2</v>
      </c>
      <c r="X3">
        <v>0.19569184644463278</v>
      </c>
      <c r="Y3">
        <v>0.27026439853136069</v>
      </c>
      <c r="Z3">
        <v>0.20383888418171153</v>
      </c>
      <c r="AA3">
        <v>9.5483282278563536E-2</v>
      </c>
      <c r="AB3">
        <v>5.730083208412088E-2</v>
      </c>
      <c r="AC3">
        <v>3.4652067175041823E-2</v>
      </c>
      <c r="AD3">
        <v>3.4780056521822061E-2</v>
      </c>
      <c r="AE3">
        <v>1.9597431229014289E-2</v>
      </c>
      <c r="AF3">
        <v>5.8361580912778814E-2</v>
      </c>
      <c r="AG3">
        <v>8.1835427110169556E-3</v>
      </c>
      <c r="AH3">
        <v>6.1268892139061157E-2</v>
      </c>
      <c r="AI3">
        <v>4.79167961368756E-3</v>
      </c>
      <c r="AJ3">
        <v>2.6542674714022101E-2</v>
      </c>
      <c r="AK3">
        <v>0</v>
      </c>
      <c r="AL3">
        <v>0</v>
      </c>
      <c r="AM3">
        <v>4.264825595168141E-2</v>
      </c>
    </row>
    <row r="4" spans="1:88" x14ac:dyDescent="0.3">
      <c r="A4" t="s">
        <v>7</v>
      </c>
      <c r="B4" t="s">
        <v>12</v>
      </c>
      <c r="C4">
        <v>223</v>
      </c>
      <c r="D4">
        <v>24457</v>
      </c>
      <c r="E4">
        <v>23831</v>
      </c>
      <c r="F4">
        <v>25250</v>
      </c>
      <c r="H4" t="s">
        <v>9</v>
      </c>
      <c r="J4" t="s">
        <v>9</v>
      </c>
    </row>
    <row r="5" spans="1:88" x14ac:dyDescent="0.3">
      <c r="A5" t="s">
        <v>7</v>
      </c>
      <c r="B5" t="s">
        <v>13</v>
      </c>
      <c r="C5">
        <v>221</v>
      </c>
      <c r="D5">
        <v>24032</v>
      </c>
      <c r="E5">
        <v>23408</v>
      </c>
      <c r="F5">
        <v>24737</v>
      </c>
      <c r="H5" t="s">
        <v>11</v>
      </c>
      <c r="I5" t="s">
        <v>9</v>
      </c>
      <c r="J5">
        <v>5068</v>
      </c>
      <c r="K5">
        <v>5068</v>
      </c>
      <c r="L5">
        <f>0.5*(((AB5+AD5+AF5+AH5+AJ5)/(AA5+AC5+AE5+AG5+AI5))+((AB5+AD5+AF5+AH5+AJ5)/(AC5+AE5+AG5+AI5+AK5)))</f>
        <v>4.088226047091239</v>
      </c>
      <c r="M5">
        <f>((27*AD5)+(29*AF5)+(31*AH5)+(33*AJ5)+(35*AL5))/(AD5+AF5+AH5+AJ5+AL5)</f>
        <v>30.091277890466529</v>
      </c>
      <c r="N5">
        <f t="shared" si="0"/>
        <v>23.872744207707537</v>
      </c>
      <c r="O5">
        <f>Z5/(Z5+AH5+AJ5+AL5)</f>
        <v>0.74775201135825842</v>
      </c>
      <c r="P5">
        <f t="shared" si="1"/>
        <v>0.74135876042908222</v>
      </c>
      <c r="Q5">
        <f>AH5/AF5</f>
        <v>1.260416666666667</v>
      </c>
      <c r="R5">
        <v>0</v>
      </c>
      <c r="S5">
        <v>3.3738938053097349E-3</v>
      </c>
      <c r="T5">
        <v>6.1946902654867273E-3</v>
      </c>
      <c r="U5">
        <v>1.9247787610619474E-2</v>
      </c>
      <c r="V5">
        <v>5.1493362831858416E-2</v>
      </c>
      <c r="W5">
        <v>3.584070796460178E-2</v>
      </c>
      <c r="X5">
        <v>0.10807522123893806</v>
      </c>
      <c r="Y5">
        <v>0.18357300884955755</v>
      </c>
      <c r="Z5">
        <v>0.17477876106194692</v>
      </c>
      <c r="AA5">
        <v>8.3130530973451341E-2</v>
      </c>
      <c r="AB5">
        <v>3.1637168141592918E-2</v>
      </c>
      <c r="AC5">
        <v>1.4712389380530976E-2</v>
      </c>
      <c r="AD5">
        <v>1.8252212389380535E-2</v>
      </c>
      <c r="AE5">
        <v>8.2964601769911514E-4</v>
      </c>
      <c r="AF5">
        <v>3.1858407079646017E-2</v>
      </c>
      <c r="AG5">
        <v>3.1526548672566371E-3</v>
      </c>
      <c r="AH5">
        <v>4.0154867256637174E-2</v>
      </c>
      <c r="AI5">
        <v>1.9358407079646017E-3</v>
      </c>
      <c r="AJ5">
        <v>1.8805309734513276E-2</v>
      </c>
      <c r="AK5">
        <v>0</v>
      </c>
      <c r="AL5">
        <v>0</v>
      </c>
      <c r="AM5">
        <v>0</v>
      </c>
      <c r="AN5" s="10">
        <v>5068</v>
      </c>
      <c r="AO5" s="4">
        <v>-175.28696019000915</v>
      </c>
      <c r="AP5" s="4">
        <v>2.5399190787547368</v>
      </c>
      <c r="AQ5" s="4" t="s">
        <v>65</v>
      </c>
      <c r="AR5" s="4" t="s">
        <v>65</v>
      </c>
      <c r="AS5" s="4">
        <v>-109.72464145210459</v>
      </c>
      <c r="AT5" s="4">
        <v>1.7003818479405475</v>
      </c>
      <c r="AU5" s="4">
        <v>-114.32012742041179</v>
      </c>
      <c r="AV5" s="4">
        <v>19.424620934013777</v>
      </c>
      <c r="AW5" s="4" t="s">
        <v>65</v>
      </c>
      <c r="AX5" s="4" t="s">
        <v>65</v>
      </c>
      <c r="AY5" s="4" t="s">
        <v>65</v>
      </c>
      <c r="AZ5" s="4" t="s">
        <v>65</v>
      </c>
      <c r="BA5" s="4" t="s">
        <v>65</v>
      </c>
      <c r="BB5" s="4" t="s">
        <v>65</v>
      </c>
      <c r="BC5" s="4" t="s">
        <v>65</v>
      </c>
      <c r="BD5" s="4" t="s">
        <v>65</v>
      </c>
      <c r="BE5" s="4" t="s">
        <v>65</v>
      </c>
      <c r="BF5" s="4" t="s">
        <v>65</v>
      </c>
      <c r="BG5" s="4" t="s">
        <v>65</v>
      </c>
      <c r="BH5" s="4" t="s">
        <v>65</v>
      </c>
      <c r="BI5" s="4" t="s">
        <v>65</v>
      </c>
      <c r="BJ5" s="4" t="s">
        <v>65</v>
      </c>
      <c r="BK5" s="4">
        <v>-33.431397267846108</v>
      </c>
      <c r="BL5" s="4">
        <v>0.13921573564217932</v>
      </c>
      <c r="BM5" s="4">
        <v>-46.811000989117993</v>
      </c>
      <c r="BN5" s="4">
        <v>3.1716251085772256</v>
      </c>
      <c r="BO5" s="4">
        <v>-31.388693674095929</v>
      </c>
      <c r="BP5" s="4">
        <v>0.12722334383607203</v>
      </c>
      <c r="BQ5" s="4">
        <v>-30.058523820439689</v>
      </c>
      <c r="BR5" s="4">
        <v>0.48980772961017871</v>
      </c>
      <c r="BS5" s="4">
        <v>-31.248658257509422</v>
      </c>
      <c r="BT5" s="4">
        <v>0.14721702993918831</v>
      </c>
      <c r="BU5" s="4">
        <v>-31.539698583065757</v>
      </c>
      <c r="BV5" s="4">
        <v>2.5277920893876767E-2</v>
      </c>
      <c r="BW5" s="4">
        <v>-31.871337630749004</v>
      </c>
      <c r="BX5" s="4">
        <v>0.28703268478999489</v>
      </c>
      <c r="BY5" s="4" t="s">
        <v>65</v>
      </c>
      <c r="BZ5" s="4" t="s">
        <v>65</v>
      </c>
      <c r="CA5" s="4">
        <v>-32.329409465784259</v>
      </c>
      <c r="CB5" s="4">
        <v>0.28261567021123085</v>
      </c>
      <c r="CC5" s="4" t="s">
        <v>65</v>
      </c>
      <c r="CD5" s="4" t="s">
        <v>65</v>
      </c>
      <c r="CE5" s="4">
        <v>-33.971292892031272</v>
      </c>
      <c r="CF5" s="4">
        <v>0.24074524490319613</v>
      </c>
      <c r="CG5" s="4" t="s">
        <v>65</v>
      </c>
      <c r="CH5" s="4" t="s">
        <v>65</v>
      </c>
      <c r="CI5" s="4">
        <v>-34.390425893891972</v>
      </c>
      <c r="CJ5" s="4">
        <v>0.47961021643798563</v>
      </c>
    </row>
    <row r="6" spans="1:88" x14ac:dyDescent="0.3">
      <c r="A6" t="s">
        <v>7</v>
      </c>
      <c r="B6" t="s">
        <v>14</v>
      </c>
      <c r="C6">
        <v>218</v>
      </c>
      <c r="D6">
        <v>23451</v>
      </c>
      <c r="E6">
        <v>22987</v>
      </c>
      <c r="F6">
        <v>23826</v>
      </c>
      <c r="G6" t="s">
        <v>9</v>
      </c>
      <c r="H6" t="s">
        <v>9</v>
      </c>
      <c r="J6" t="s">
        <v>9</v>
      </c>
    </row>
    <row r="7" spans="1:88" x14ac:dyDescent="0.3">
      <c r="A7" t="s">
        <v>7</v>
      </c>
      <c r="B7" t="s">
        <v>15</v>
      </c>
      <c r="C7">
        <v>215</v>
      </c>
      <c r="D7">
        <v>21583</v>
      </c>
      <c r="E7">
        <v>21177</v>
      </c>
      <c r="F7">
        <v>21812</v>
      </c>
      <c r="H7" t="s">
        <v>11</v>
      </c>
      <c r="I7" t="s">
        <v>9</v>
      </c>
      <c r="J7">
        <v>5067</v>
      </c>
      <c r="K7">
        <v>5067</v>
      </c>
      <c r="L7">
        <f t="shared" ref="L7:L17" si="2">0.5*(((AB7+AD7+AF7+AH7+AJ7)/(AA7+AC7+AE7+AG7+AI7))+((AB7+AD7+AF7+AH7+AJ7)/(AC7+AE7+AG7+AI7+AK7)))</f>
        <v>2.5940600738987838</v>
      </c>
      <c r="M7">
        <f t="shared" ref="M7:M17" si="3">((27*AD7)+(29*AF7)+(31*AH7)+(33*AJ7)+(35*AL7))/(AD7+AF7+AH7+AJ7+AL7)</f>
        <v>29.775343861436582</v>
      </c>
      <c r="N7">
        <f t="shared" si="0"/>
        <v>24.213057495969903</v>
      </c>
      <c r="O7">
        <f t="shared" ref="O7:O17" si="4">Z7/(Z7+AH7+AJ7+AL7)</f>
        <v>0.75319380266376734</v>
      </c>
      <c r="P7">
        <f t="shared" si="1"/>
        <v>0.73211963589076734</v>
      </c>
      <c r="Q7">
        <f>AH7/AF7</f>
        <v>1</v>
      </c>
      <c r="R7">
        <v>1.8691588785046728E-3</v>
      </c>
      <c r="S7">
        <v>1.1682242990654207E-3</v>
      </c>
      <c r="T7">
        <v>3.1542056074766356E-3</v>
      </c>
      <c r="U7">
        <v>8.8200934579439269E-3</v>
      </c>
      <c r="V7">
        <v>3.7324766355140183E-2</v>
      </c>
      <c r="W7">
        <v>2.2371495327102801E-2</v>
      </c>
      <c r="X7">
        <v>8.5514018691588797E-2</v>
      </c>
      <c r="Y7">
        <v>0.17009345794392525</v>
      </c>
      <c r="Z7">
        <v>0.16185747663551403</v>
      </c>
      <c r="AA7">
        <v>8.3002336448598141E-2</v>
      </c>
      <c r="AB7">
        <v>3.5455607476635516E-2</v>
      </c>
      <c r="AC7">
        <v>2.3189252336448599E-2</v>
      </c>
      <c r="AD7">
        <v>2.552570093457944E-2</v>
      </c>
      <c r="AE7">
        <v>1.6939252336448595E-3</v>
      </c>
      <c r="AF7">
        <v>3.6098130841121491E-2</v>
      </c>
      <c r="AG7">
        <v>8.2359813084112131E-3</v>
      </c>
      <c r="AH7">
        <v>3.6098130841121491E-2</v>
      </c>
      <c r="AI7">
        <v>4.9065420560747662E-3</v>
      </c>
      <c r="AJ7">
        <v>1.6939252336448597E-2</v>
      </c>
      <c r="AK7">
        <v>0</v>
      </c>
      <c r="AL7">
        <v>0</v>
      </c>
      <c r="AM7">
        <v>0</v>
      </c>
      <c r="AN7" s="10">
        <v>5067</v>
      </c>
      <c r="AO7" s="4">
        <v>-175.43965502289615</v>
      </c>
      <c r="AP7" s="4">
        <v>3.7139674431226517</v>
      </c>
      <c r="AQ7" s="4" t="s">
        <v>65</v>
      </c>
      <c r="AR7" s="4" t="s">
        <v>65</v>
      </c>
      <c r="AS7" s="4">
        <v>-139.09255092297474</v>
      </c>
      <c r="AT7" s="4">
        <v>20.522376581626386</v>
      </c>
      <c r="AU7" s="4">
        <v>-131.33927863623157</v>
      </c>
      <c r="AV7" s="4">
        <v>18.004897448775019</v>
      </c>
      <c r="AW7" s="4" t="s">
        <v>65</v>
      </c>
      <c r="AX7" s="4" t="s">
        <v>65</v>
      </c>
      <c r="AY7" s="4" t="s">
        <v>65</v>
      </c>
      <c r="AZ7" s="4" t="s">
        <v>65</v>
      </c>
      <c r="BA7" s="4" t="s">
        <v>65</v>
      </c>
      <c r="BB7" s="4" t="s">
        <v>65</v>
      </c>
      <c r="BC7" s="4" t="s">
        <v>65</v>
      </c>
      <c r="BD7" s="4" t="s">
        <v>65</v>
      </c>
      <c r="BE7" s="4" t="s">
        <v>65</v>
      </c>
      <c r="BF7" s="4" t="s">
        <v>65</v>
      </c>
      <c r="BG7" s="4" t="s">
        <v>65</v>
      </c>
      <c r="BH7" s="4" t="s">
        <v>65</v>
      </c>
      <c r="BI7" s="4" t="s">
        <v>65</v>
      </c>
      <c r="BJ7" s="4" t="s">
        <v>65</v>
      </c>
      <c r="BK7" s="4">
        <v>-44.651250502012388</v>
      </c>
      <c r="BL7" s="4">
        <v>12.989914472264218</v>
      </c>
      <c r="BM7" s="4">
        <v>-59.512298704586108</v>
      </c>
      <c r="BN7" s="4">
        <v>8.9497443800337457</v>
      </c>
      <c r="BO7" s="4">
        <v>-31.569093032030693</v>
      </c>
      <c r="BP7" s="4">
        <v>0.26655254412747398</v>
      </c>
      <c r="BQ7" s="4">
        <v>-30.490550369533054</v>
      </c>
      <c r="BR7" s="4">
        <v>0.80203851207971766</v>
      </c>
      <c r="BS7" s="4">
        <v>-31.708986431473846</v>
      </c>
      <c r="BT7" s="4">
        <v>0.10319794956902924</v>
      </c>
      <c r="BU7" s="4">
        <v>-32.256883484630777</v>
      </c>
      <c r="BV7" s="4">
        <v>1.4640004835936242</v>
      </c>
      <c r="BW7" s="4">
        <v>-31.742947529982452</v>
      </c>
      <c r="BX7" s="4">
        <v>0.46902958243291404</v>
      </c>
      <c r="BY7" s="4">
        <v>-31.091927261837291</v>
      </c>
      <c r="BZ7" s="4">
        <v>0.23942957427366063</v>
      </c>
      <c r="CA7" s="4">
        <v>-31.981715048974287</v>
      </c>
      <c r="CB7" s="4">
        <v>1.1150588335751503</v>
      </c>
      <c r="CC7" s="4" t="s">
        <v>65</v>
      </c>
      <c r="CD7" s="4" t="s">
        <v>65</v>
      </c>
      <c r="CE7" s="4">
        <v>-32.911291515861294</v>
      </c>
      <c r="CF7" s="4">
        <v>1.4263117163082668</v>
      </c>
      <c r="CG7" s="4" t="s">
        <v>65</v>
      </c>
      <c r="CH7" s="4" t="s">
        <v>65</v>
      </c>
      <c r="CI7" s="4" t="s">
        <v>65</v>
      </c>
      <c r="CJ7" s="4" t="s">
        <v>65</v>
      </c>
    </row>
    <row r="8" spans="1:88" x14ac:dyDescent="0.3">
      <c r="A8" t="s">
        <v>7</v>
      </c>
      <c r="B8" t="s">
        <v>16</v>
      </c>
      <c r="C8">
        <v>213</v>
      </c>
      <c r="D8">
        <v>19906</v>
      </c>
      <c r="E8">
        <v>19299</v>
      </c>
      <c r="F8">
        <v>20293</v>
      </c>
      <c r="H8" t="s">
        <v>11</v>
      </c>
      <c r="I8" t="s">
        <v>9</v>
      </c>
      <c r="J8">
        <v>5066</v>
      </c>
      <c r="K8">
        <v>5066</v>
      </c>
      <c r="L8">
        <f t="shared" si="2"/>
        <v>1.3802268333480938</v>
      </c>
      <c r="M8">
        <f t="shared" si="3"/>
        <v>29.16013659237958</v>
      </c>
      <c r="N8">
        <f t="shared" si="0"/>
        <v>27.744152425635221</v>
      </c>
      <c r="O8">
        <f t="shared" si="4"/>
        <v>0.21537066424846968</v>
      </c>
      <c r="P8">
        <f t="shared" si="1"/>
        <v>0.3918199262629094</v>
      </c>
      <c r="Q8">
        <f t="shared" ref="Q8:Q17" si="5">AH8/AF8</f>
        <v>0.61947410724537821</v>
      </c>
      <c r="R8">
        <v>1.6471838469713071E-3</v>
      </c>
      <c r="S8">
        <v>0</v>
      </c>
      <c r="T8">
        <v>1.6471838469713071E-3</v>
      </c>
      <c r="U8">
        <v>4.1976620616365574E-3</v>
      </c>
      <c r="V8">
        <v>2.6726886291179596E-2</v>
      </c>
      <c r="W8">
        <v>4.8884165781083958E-3</v>
      </c>
      <c r="X8">
        <v>2.9596174282678005E-2</v>
      </c>
      <c r="Y8">
        <v>8.1402763018065885E-2</v>
      </c>
      <c r="Z8">
        <v>0.25239107332624866</v>
      </c>
      <c r="AA8">
        <v>0.49516471838469717</v>
      </c>
      <c r="AB8">
        <v>0.713230605738576</v>
      </c>
      <c r="AC8">
        <v>1.1075451647183847</v>
      </c>
      <c r="AD8">
        <v>1.1114240170031882</v>
      </c>
      <c r="AE8">
        <v>0.11062699256110523</v>
      </c>
      <c r="AF8">
        <v>0.92550478214665266</v>
      </c>
      <c r="AG8">
        <v>0.69107332624867168</v>
      </c>
      <c r="AH8">
        <v>0.57332624867162596</v>
      </c>
      <c r="AI8">
        <v>0.39027630180658879</v>
      </c>
      <c r="AJ8">
        <v>0.26370882040382576</v>
      </c>
      <c r="AK8">
        <v>0.12938363443145592</v>
      </c>
      <c r="AL8">
        <v>8.2465462274176407E-2</v>
      </c>
      <c r="AM8">
        <v>3.815090329436769E-2</v>
      </c>
      <c r="AN8" s="10">
        <v>5066</v>
      </c>
      <c r="AO8" s="4" t="s">
        <v>65</v>
      </c>
      <c r="AP8" s="4" t="s">
        <v>65</v>
      </c>
      <c r="AQ8" s="4" t="s">
        <v>65</v>
      </c>
      <c r="AR8" s="4" t="s">
        <v>65</v>
      </c>
      <c r="AS8" s="4">
        <v>-175.41788986046129</v>
      </c>
      <c r="AT8" s="4">
        <v>3.4363059220123504</v>
      </c>
      <c r="AU8" s="4">
        <v>-188.87159454362583</v>
      </c>
      <c r="AV8" s="4">
        <v>1.2636624949801791</v>
      </c>
      <c r="AW8" s="4">
        <v>-185.46481017281985</v>
      </c>
      <c r="AX8" s="4">
        <v>1.1876785985292311</v>
      </c>
      <c r="AY8" s="4">
        <v>-183.68475181732981</v>
      </c>
      <c r="AZ8" s="4">
        <v>0.49689817711196743</v>
      </c>
      <c r="BA8" s="4">
        <v>-182.2609024770635</v>
      </c>
      <c r="BB8" s="4">
        <v>0.68712906432513277</v>
      </c>
      <c r="BC8" s="4">
        <v>-180.40875863858028</v>
      </c>
      <c r="BD8" s="4">
        <v>1.3111294489823275</v>
      </c>
      <c r="BE8" s="4">
        <v>-182.54752627732148</v>
      </c>
      <c r="BF8" s="4">
        <v>1.5340896507851038</v>
      </c>
      <c r="BG8" s="4">
        <v>-180.43316059437649</v>
      </c>
      <c r="BH8" s="4">
        <v>1.0691897617593669</v>
      </c>
      <c r="BI8" s="4">
        <v>-183.25228339073601</v>
      </c>
      <c r="BJ8" s="4">
        <v>1.9287208302421943</v>
      </c>
      <c r="BK8" s="4">
        <v>-34.731390203759915</v>
      </c>
      <c r="BL8" s="4">
        <v>0.33354011765076003</v>
      </c>
      <c r="BM8" s="4" t="s">
        <v>65</v>
      </c>
      <c r="BN8" s="4" t="s">
        <v>65</v>
      </c>
      <c r="BO8" s="4">
        <v>-31.996203709878035</v>
      </c>
      <c r="BP8" s="4">
        <v>0.67461479574590111</v>
      </c>
      <c r="BQ8" s="4">
        <v>-30.756848245907115</v>
      </c>
      <c r="BR8" s="4">
        <v>0.76666034099325275</v>
      </c>
      <c r="BS8" s="4">
        <v>-30.621514039592121</v>
      </c>
      <c r="BT8" s="4">
        <v>0.27070103216213831</v>
      </c>
      <c r="BU8" s="4">
        <v>-30.276126127291064</v>
      </c>
      <c r="BV8" s="4">
        <v>0.14613617715749844</v>
      </c>
      <c r="BW8" s="4">
        <v>-30.363942639824053</v>
      </c>
      <c r="BX8" s="4">
        <v>0.10561752365645263</v>
      </c>
      <c r="BY8" s="4">
        <v>-30.707678206793606</v>
      </c>
      <c r="BZ8" s="4">
        <v>0.1847548384826351</v>
      </c>
      <c r="CA8" s="4">
        <v>-31.119884043298946</v>
      </c>
      <c r="CB8" s="4">
        <v>0.21904091511361604</v>
      </c>
      <c r="CC8" s="4">
        <v>-31.704057791423601</v>
      </c>
      <c r="CD8" s="4">
        <v>3.3040654620717001E-2</v>
      </c>
      <c r="CE8" s="4">
        <v>-32.368908628927564</v>
      </c>
      <c r="CF8" s="4">
        <v>8.5897189671379007E-3</v>
      </c>
      <c r="CG8" s="4">
        <v>-32.780070842612943</v>
      </c>
      <c r="CH8" s="4">
        <v>0.12188948149905635</v>
      </c>
      <c r="CI8" s="4">
        <v>-33.673026915285249</v>
      </c>
      <c r="CJ8" s="4">
        <v>0.63281696536788945</v>
      </c>
    </row>
    <row r="9" spans="1:88" x14ac:dyDescent="0.3">
      <c r="A9" t="s">
        <v>7</v>
      </c>
      <c r="B9" t="s">
        <v>17</v>
      </c>
      <c r="C9">
        <v>212</v>
      </c>
      <c r="D9">
        <v>19061</v>
      </c>
      <c r="E9">
        <v>18298</v>
      </c>
      <c r="F9">
        <v>19627</v>
      </c>
      <c r="G9" t="s">
        <v>9</v>
      </c>
      <c r="H9" t="s">
        <v>11</v>
      </c>
      <c r="I9" t="s">
        <v>9</v>
      </c>
      <c r="J9">
        <v>5065</v>
      </c>
      <c r="K9">
        <v>5065</v>
      </c>
      <c r="L9">
        <f t="shared" si="2"/>
        <v>3.6651404551679927</v>
      </c>
      <c r="M9">
        <f t="shared" si="3"/>
        <v>29.667530784186653</v>
      </c>
      <c r="N9">
        <f t="shared" si="0"/>
        <v>24.832326283987914</v>
      </c>
      <c r="O9">
        <f t="shared" si="4"/>
        <v>0.69064084831719685</v>
      </c>
      <c r="P9">
        <f t="shared" si="1"/>
        <v>0.67615176151761525</v>
      </c>
      <c r="Q9">
        <f t="shared" si="5"/>
        <v>0.91008991008991003</v>
      </c>
      <c r="R9">
        <v>2.005174644243208E-3</v>
      </c>
      <c r="S9">
        <v>1.7464424320827944E-3</v>
      </c>
      <c r="T9">
        <v>5.2393272962483837E-3</v>
      </c>
      <c r="U9">
        <v>1.3648124191461835E-2</v>
      </c>
      <c r="V9">
        <v>3.9003880983182408E-2</v>
      </c>
      <c r="W9">
        <v>3.0012936610608016E-2</v>
      </c>
      <c r="X9">
        <v>0.10265200517464423</v>
      </c>
      <c r="Y9">
        <v>0.17639068564036223</v>
      </c>
      <c r="Z9">
        <v>0.19379042690815007</v>
      </c>
      <c r="AA9">
        <v>9.5084087968952125E-2</v>
      </c>
      <c r="AB9">
        <v>6.4424320827943082E-2</v>
      </c>
      <c r="AC9">
        <v>3.4023285899094438E-2</v>
      </c>
      <c r="AD9">
        <v>4.8059508408796893E-2</v>
      </c>
      <c r="AE9">
        <v>2.1992238033635187E-3</v>
      </c>
      <c r="AF9">
        <v>6.4747736093143604E-2</v>
      </c>
      <c r="AG9">
        <v>8.2794307891332474E-3</v>
      </c>
      <c r="AH9">
        <v>5.8926261319534282E-2</v>
      </c>
      <c r="AI9">
        <v>3.6222509702457961E-3</v>
      </c>
      <c r="AJ9">
        <v>2.7878395860284604E-2</v>
      </c>
      <c r="AK9">
        <v>0</v>
      </c>
      <c r="AL9">
        <v>0</v>
      </c>
      <c r="AM9">
        <v>0</v>
      </c>
      <c r="AN9" s="10">
        <v>5065</v>
      </c>
      <c r="AO9" s="4">
        <v>-128.56185760305328</v>
      </c>
      <c r="AP9" s="4">
        <v>4.6218749905685454</v>
      </c>
      <c r="AQ9" s="4" t="s">
        <v>65</v>
      </c>
      <c r="AR9" s="4" t="s">
        <v>65</v>
      </c>
      <c r="AS9" s="4">
        <v>-48.749153452134841</v>
      </c>
      <c r="AT9" s="4">
        <v>13.161937558911198</v>
      </c>
      <c r="AU9" s="4">
        <v>-78.943428320665078</v>
      </c>
      <c r="AV9" s="4">
        <v>5.3484305423318945</v>
      </c>
      <c r="AW9" s="4">
        <v>-94.204275074853598</v>
      </c>
      <c r="AX9" s="4">
        <v>0.15612200144507468</v>
      </c>
      <c r="AY9" s="4">
        <v>-97.680822981831653</v>
      </c>
      <c r="AZ9" s="4">
        <v>48.156477730559246</v>
      </c>
      <c r="BA9" s="4">
        <v>-25.770512459501255</v>
      </c>
      <c r="BB9" s="4">
        <v>70.928868938067765</v>
      </c>
      <c r="BC9" s="4" t="s">
        <v>65</v>
      </c>
      <c r="BD9" s="4" t="s">
        <v>65</v>
      </c>
      <c r="BE9" s="4" t="s">
        <v>65</v>
      </c>
      <c r="BF9" s="4" t="s">
        <v>65</v>
      </c>
      <c r="BG9" s="4" t="s">
        <v>65</v>
      </c>
      <c r="BH9" s="4" t="s">
        <v>65</v>
      </c>
      <c r="BI9" s="4" t="s">
        <v>65</v>
      </c>
      <c r="BJ9" s="4" t="s">
        <v>65</v>
      </c>
      <c r="BK9" s="4">
        <v>-44.955510154329026</v>
      </c>
      <c r="BL9" s="4">
        <v>5.1967499600387246</v>
      </c>
      <c r="BM9" s="4">
        <v>-49.666106528016684</v>
      </c>
      <c r="BN9" s="4">
        <v>5.8867659720098473</v>
      </c>
      <c r="BO9" s="4">
        <v>-31.444492809572061</v>
      </c>
      <c r="BP9" s="4">
        <v>0.23101839683979516</v>
      </c>
      <c r="BQ9" s="4">
        <v>-30.75435888399533</v>
      </c>
      <c r="BR9" s="4">
        <v>0.18929375415517818</v>
      </c>
      <c r="BS9" s="4">
        <v>-32.061995314824564</v>
      </c>
      <c r="BT9" s="4">
        <v>0.23772342430727442</v>
      </c>
      <c r="BU9" s="4">
        <v>-31.683433480710477</v>
      </c>
      <c r="BV9" s="4">
        <v>0.18517320238846652</v>
      </c>
      <c r="BW9" s="4">
        <v>-31.901820753991231</v>
      </c>
      <c r="BX9" s="4">
        <v>0.37547573443507293</v>
      </c>
      <c r="BY9" s="4">
        <v>-31.679424559470498</v>
      </c>
      <c r="BZ9" s="4">
        <v>1.7429159109805418E-2</v>
      </c>
      <c r="CA9" s="4">
        <v>-32.037925106361087</v>
      </c>
      <c r="CB9" s="4">
        <v>0.11277640447691963</v>
      </c>
      <c r="CC9" s="4">
        <v>-31.470316178436882</v>
      </c>
      <c r="CD9" s="4">
        <v>8.9533927329114235E-2</v>
      </c>
      <c r="CE9" s="4">
        <v>-33.497223311937276</v>
      </c>
      <c r="CF9" s="4">
        <v>0.2813303084656959</v>
      </c>
      <c r="CG9" s="4" t="s">
        <v>65</v>
      </c>
      <c r="CH9" s="4" t="s">
        <v>65</v>
      </c>
      <c r="CI9" s="4">
        <v>-34.545938168267156</v>
      </c>
      <c r="CJ9" s="4">
        <v>0.14855113229305136</v>
      </c>
    </row>
    <row r="10" spans="1:88" x14ac:dyDescent="0.3">
      <c r="A10" t="s">
        <v>7</v>
      </c>
      <c r="B10" t="s">
        <v>18</v>
      </c>
      <c r="C10">
        <v>210</v>
      </c>
      <c r="D10">
        <v>16845</v>
      </c>
      <c r="E10">
        <v>16111</v>
      </c>
      <c r="F10">
        <v>17308</v>
      </c>
      <c r="H10" t="s">
        <v>11</v>
      </c>
      <c r="I10" t="s">
        <v>9</v>
      </c>
      <c r="J10">
        <v>5064</v>
      </c>
      <c r="K10">
        <v>5064</v>
      </c>
      <c r="L10">
        <f t="shared" si="2"/>
        <v>2.5105188235303073</v>
      </c>
      <c r="M10">
        <f t="shared" si="3"/>
        <v>29.807387862796833</v>
      </c>
      <c r="N10">
        <f t="shared" si="0"/>
        <v>24.700204439252335</v>
      </c>
      <c r="O10">
        <f t="shared" si="4"/>
        <v>0.71485657199942909</v>
      </c>
      <c r="P10">
        <f t="shared" si="1"/>
        <v>0.72200513564809654</v>
      </c>
      <c r="Q10">
        <f t="shared" si="5"/>
        <v>1.120954003407155</v>
      </c>
      <c r="R10">
        <v>0</v>
      </c>
      <c r="S10">
        <v>9.0012330456226888E-3</v>
      </c>
      <c r="T10">
        <v>1.4180024660912454E-2</v>
      </c>
      <c r="U10">
        <v>2.3674475955610359E-2</v>
      </c>
      <c r="V10">
        <v>5.8261405672009867E-2</v>
      </c>
      <c r="W10">
        <v>3.3292231812577067E-2</v>
      </c>
      <c r="X10">
        <v>0.13039457459926015</v>
      </c>
      <c r="Y10">
        <v>0.24346485819975341</v>
      </c>
      <c r="Z10">
        <v>0.30881627620221952</v>
      </c>
      <c r="AA10">
        <v>0.17546239210850803</v>
      </c>
      <c r="AB10">
        <v>8.9889025893958099E-2</v>
      </c>
      <c r="AC10">
        <v>5.3020961775585698E-2</v>
      </c>
      <c r="AD10">
        <v>6.1467324290998777E-2</v>
      </c>
      <c r="AE10">
        <v>2.4414303329223185E-2</v>
      </c>
      <c r="AF10">
        <v>7.2379778051787927E-2</v>
      </c>
      <c r="AG10">
        <v>9.0012330456226888E-3</v>
      </c>
      <c r="AH10">
        <v>8.1134401972872999E-2</v>
      </c>
      <c r="AI10">
        <v>6.5967940813810126E-3</v>
      </c>
      <c r="AJ10">
        <v>4.2046855733662153E-2</v>
      </c>
      <c r="AK10">
        <v>0</v>
      </c>
      <c r="AL10">
        <v>0</v>
      </c>
      <c r="AM10">
        <v>0</v>
      </c>
      <c r="AN10" s="10">
        <v>5064</v>
      </c>
      <c r="AO10" s="4">
        <v>-151.17020475281674</v>
      </c>
      <c r="AP10" s="4">
        <v>2.2040355077940905</v>
      </c>
      <c r="AQ10" s="4" t="s">
        <v>65</v>
      </c>
      <c r="AR10" s="4" t="s">
        <v>65</v>
      </c>
      <c r="AS10" s="4">
        <v>-120.32663533281143</v>
      </c>
      <c r="AT10" s="4">
        <v>4.5433555951154787</v>
      </c>
      <c r="AU10" s="4">
        <v>-112.90735076178456</v>
      </c>
      <c r="AV10" s="4">
        <v>0.99014564302066355</v>
      </c>
      <c r="AW10" s="4">
        <v>-112.84670945610121</v>
      </c>
      <c r="AX10" s="4">
        <v>3.0244418210429203</v>
      </c>
      <c r="AY10" s="4" t="s">
        <v>65</v>
      </c>
      <c r="AZ10" s="4" t="s">
        <v>65</v>
      </c>
      <c r="BA10" s="4" t="s">
        <v>65</v>
      </c>
      <c r="BB10" s="4" t="s">
        <v>65</v>
      </c>
      <c r="BC10" s="4" t="s">
        <v>65</v>
      </c>
      <c r="BD10" s="4" t="s">
        <v>65</v>
      </c>
      <c r="BE10" s="4" t="s">
        <v>65</v>
      </c>
      <c r="BF10" s="4" t="s">
        <v>65</v>
      </c>
      <c r="BG10" s="4" t="s">
        <v>65</v>
      </c>
      <c r="BH10" s="4" t="s">
        <v>65</v>
      </c>
      <c r="BI10" s="4" t="s">
        <v>65</v>
      </c>
      <c r="BJ10" s="4" t="s">
        <v>65</v>
      </c>
      <c r="BK10" s="4">
        <v>-34.637969036890681</v>
      </c>
      <c r="BL10" s="4">
        <v>0.54530229107415529</v>
      </c>
      <c r="BM10" s="4">
        <v>-31.875735551165747</v>
      </c>
      <c r="BN10" s="4">
        <v>1.2847148509305377</v>
      </c>
      <c r="BO10" s="4">
        <v>-31.269435097057737</v>
      </c>
      <c r="BP10" s="4">
        <v>4.5345046354611966E-3</v>
      </c>
      <c r="BQ10" s="4">
        <v>-30.95525372669427</v>
      </c>
      <c r="BR10" s="4">
        <v>4.2708706206673233E-2</v>
      </c>
      <c r="BS10" s="4">
        <v>-31.369312072870613</v>
      </c>
      <c r="BT10" s="4">
        <v>0.16566230247696367</v>
      </c>
      <c r="BU10" s="4">
        <v>-31.127019353563689</v>
      </c>
      <c r="BV10" s="4">
        <v>0.1904974708891716</v>
      </c>
      <c r="BW10" s="4">
        <v>-31.005477054243819</v>
      </c>
      <c r="BX10" s="4">
        <v>3.0535301203641008E-2</v>
      </c>
      <c r="BY10" s="4">
        <v>-32.570820501681652</v>
      </c>
      <c r="BZ10" s="4">
        <v>0.48558768321278262</v>
      </c>
      <c r="CA10" s="4">
        <v>-32.967670215835255</v>
      </c>
      <c r="CB10" s="4">
        <v>0.606175863957509</v>
      </c>
      <c r="CC10" s="4">
        <v>-32.693343691738669</v>
      </c>
      <c r="CD10" s="4">
        <v>0.40167269653657717</v>
      </c>
      <c r="CE10" s="4">
        <v>-33.5220613985379</v>
      </c>
      <c r="CF10" s="4">
        <v>5.2199406402822945E-2</v>
      </c>
      <c r="CG10" s="4" t="s">
        <v>65</v>
      </c>
      <c r="CH10" s="4" t="s">
        <v>65</v>
      </c>
      <c r="CI10" s="4">
        <v>-33.985153092577136</v>
      </c>
      <c r="CJ10" s="4">
        <v>0.23760363740244098</v>
      </c>
    </row>
    <row r="11" spans="1:88" x14ac:dyDescent="0.3">
      <c r="A11" t="s">
        <v>7</v>
      </c>
      <c r="B11" t="s">
        <v>19</v>
      </c>
      <c r="C11">
        <v>207</v>
      </c>
      <c r="D11">
        <v>13469</v>
      </c>
      <c r="E11">
        <v>12636</v>
      </c>
      <c r="F11">
        <v>14233</v>
      </c>
      <c r="H11" t="s">
        <v>11</v>
      </c>
      <c r="I11" t="s">
        <v>9</v>
      </c>
      <c r="J11">
        <v>5063</v>
      </c>
      <c r="K11">
        <v>5063</v>
      </c>
      <c r="L11">
        <f t="shared" si="2"/>
        <v>5.1512020402455754</v>
      </c>
      <c r="M11">
        <f t="shared" si="3"/>
        <v>30.072282118009458</v>
      </c>
      <c r="N11">
        <f t="shared" si="0"/>
        <v>26.886712148713777</v>
      </c>
      <c r="O11">
        <f t="shared" si="4"/>
        <v>0.38634808039325497</v>
      </c>
      <c r="P11">
        <f t="shared" si="1"/>
        <v>0.42842520836379588</v>
      </c>
      <c r="Q11">
        <f t="shared" si="5"/>
        <v>1.152533039647577</v>
      </c>
      <c r="R11">
        <v>2.8571428571428576E-3</v>
      </c>
      <c r="S11">
        <v>1.1285714285714288E-2</v>
      </c>
      <c r="T11">
        <v>2.7642857142857143E-2</v>
      </c>
      <c r="U11">
        <v>2.9142857142857144E-2</v>
      </c>
      <c r="V11">
        <v>0.11050000000000001</v>
      </c>
      <c r="W11">
        <v>4.0857142857142856E-2</v>
      </c>
      <c r="X11">
        <v>0.21121428571428574</v>
      </c>
      <c r="Y11">
        <v>0.26614285714285713</v>
      </c>
      <c r="Z11">
        <v>0.44350000000000006</v>
      </c>
      <c r="AA11">
        <v>0.21228571428571427</v>
      </c>
      <c r="AB11">
        <v>0.18435714285714286</v>
      </c>
      <c r="AC11">
        <v>0.11114285714285714</v>
      </c>
      <c r="AD11">
        <v>0.25135714285714289</v>
      </c>
      <c r="AE11">
        <v>8.6428571428571431E-3</v>
      </c>
      <c r="AF11">
        <v>0.38914285714285718</v>
      </c>
      <c r="AG11">
        <v>5.507142857142857E-2</v>
      </c>
      <c r="AH11">
        <v>0.44850000000000001</v>
      </c>
      <c r="AI11">
        <v>3.785714285714286E-2</v>
      </c>
      <c r="AJ11">
        <v>0.24385714285714286</v>
      </c>
      <c r="AK11">
        <v>1.2642857142857145E-2</v>
      </c>
      <c r="AL11">
        <v>1.2071428571428571E-2</v>
      </c>
      <c r="AM11">
        <v>0.05</v>
      </c>
      <c r="AN11" s="10">
        <v>5063</v>
      </c>
      <c r="AO11" s="4">
        <v>-210.43442541470881</v>
      </c>
      <c r="AP11" s="4">
        <v>0.41746516267234146</v>
      </c>
      <c r="AQ11" s="4">
        <v>-194.1709256046297</v>
      </c>
      <c r="AR11" s="4">
        <v>3.1089032973293196</v>
      </c>
      <c r="AS11" s="4">
        <v>-189.36554594123666</v>
      </c>
      <c r="AT11" s="4">
        <v>0.60445949039641955</v>
      </c>
      <c r="AU11" s="4">
        <v>-182.56009998132618</v>
      </c>
      <c r="AV11" s="4">
        <v>3.2479578319160316</v>
      </c>
      <c r="AW11" s="4">
        <v>-198.52270647676116</v>
      </c>
      <c r="AX11" s="4">
        <v>3.806101795483503</v>
      </c>
      <c r="AY11" s="4">
        <v>-202.8334789617563</v>
      </c>
      <c r="AZ11" s="4">
        <v>4.8331789326627828</v>
      </c>
      <c r="BA11" s="4">
        <v>-204.69632747674231</v>
      </c>
      <c r="BB11" s="4">
        <v>2.1727907343631609</v>
      </c>
      <c r="BC11" s="4">
        <v>-201.68269293300449</v>
      </c>
      <c r="BD11" s="4">
        <v>1.5734581536389178</v>
      </c>
      <c r="BE11" s="4">
        <v>-210.54101756465496</v>
      </c>
      <c r="BF11" s="4">
        <v>1.6323264973379641</v>
      </c>
      <c r="BG11" s="4">
        <v>-193.22398627563012</v>
      </c>
      <c r="BH11" s="4">
        <v>9.6403659112810569</v>
      </c>
      <c r="BI11" s="4">
        <v>-205.98790014132726</v>
      </c>
      <c r="BJ11" s="4">
        <v>3.4288399070214299</v>
      </c>
      <c r="BK11" s="4">
        <v>-32.566321601907816</v>
      </c>
      <c r="BL11" s="4">
        <v>4.9704261335761835E-2</v>
      </c>
      <c r="BM11" s="4">
        <v>-34.886057478613004</v>
      </c>
      <c r="BN11" s="4">
        <v>0.44662946679795357</v>
      </c>
      <c r="BO11" s="4">
        <v>-31.482436317158871</v>
      </c>
      <c r="BP11" s="4">
        <v>0.65755090779189618</v>
      </c>
      <c r="BQ11" s="4">
        <v>-30.941322109564897</v>
      </c>
      <c r="BR11" s="4">
        <v>0.18757713567793852</v>
      </c>
      <c r="BS11" s="4">
        <v>-32.095987187135222</v>
      </c>
      <c r="BT11" s="4">
        <v>0.23608921793940546</v>
      </c>
      <c r="BU11" s="4">
        <v>-31.086099763072745</v>
      </c>
      <c r="BV11" s="4">
        <v>6.3707665427301038E-2</v>
      </c>
      <c r="BW11" s="4">
        <v>-31.97926257805311</v>
      </c>
      <c r="BX11" s="4">
        <v>4.1894457274961959E-2</v>
      </c>
      <c r="BY11" s="4">
        <v>-32.099827288888449</v>
      </c>
      <c r="BZ11" s="4">
        <v>6.254244381144046E-2</v>
      </c>
      <c r="CA11" s="4">
        <v>-32.970252162108522</v>
      </c>
      <c r="CB11" s="4">
        <v>2.0575086418847034E-3</v>
      </c>
      <c r="CC11" s="4">
        <v>-33.258876367804589</v>
      </c>
      <c r="CD11" s="4">
        <v>0.10769521503335305</v>
      </c>
      <c r="CE11" s="4">
        <v>-33.581778951685813</v>
      </c>
      <c r="CF11" s="4">
        <v>8.5535569427870661E-2</v>
      </c>
      <c r="CG11" s="4" t="s">
        <v>65</v>
      </c>
      <c r="CH11" s="4" t="s">
        <v>65</v>
      </c>
      <c r="CI11" s="4">
        <v>-34.292278013853206</v>
      </c>
      <c r="CJ11" s="4">
        <v>2.6264127439352802E-2</v>
      </c>
    </row>
    <row r="12" spans="1:88" x14ac:dyDescent="0.3">
      <c r="A12" t="s">
        <v>7</v>
      </c>
      <c r="B12" t="s">
        <v>20</v>
      </c>
      <c r="C12">
        <v>205</v>
      </c>
      <c r="D12">
        <v>13005</v>
      </c>
      <c r="E12">
        <v>12358</v>
      </c>
      <c r="F12">
        <v>13382</v>
      </c>
      <c r="G12" t="s">
        <v>9</v>
      </c>
      <c r="H12" t="s">
        <v>9</v>
      </c>
      <c r="I12" t="s">
        <v>9</v>
      </c>
      <c r="J12">
        <v>5062</v>
      </c>
      <c r="K12">
        <v>5062</v>
      </c>
      <c r="L12">
        <f t="shared" si="2"/>
        <v>6.6021521827825378</v>
      </c>
      <c r="M12">
        <f t="shared" si="3"/>
        <v>29.545454545454543</v>
      </c>
      <c r="N12">
        <f t="shared" si="0"/>
        <v>26.244758177243501</v>
      </c>
      <c r="O12">
        <f t="shared" si="4"/>
        <v>0.42801556420233461</v>
      </c>
      <c r="P12">
        <f t="shared" si="1"/>
        <v>0.40305692622457573</v>
      </c>
      <c r="Q12">
        <f t="shared" si="5"/>
        <v>0.78353110391945335</v>
      </c>
      <c r="R12">
        <v>3.1767955801104975E-3</v>
      </c>
      <c r="S12">
        <v>1.5055248618784533E-2</v>
      </c>
      <c r="T12">
        <v>2.5552486187845308E-2</v>
      </c>
      <c r="U12">
        <v>2.1685082872928179E-2</v>
      </c>
      <c r="V12">
        <v>7.5552486187845311E-2</v>
      </c>
      <c r="W12">
        <v>3.2320441988950274E-2</v>
      </c>
      <c r="X12">
        <v>0.12320441988950276</v>
      </c>
      <c r="Y12">
        <v>0.15573204419889505</v>
      </c>
      <c r="Z12">
        <v>0.16712707182320441</v>
      </c>
      <c r="AA12">
        <v>7.0441988950276244E-2</v>
      </c>
      <c r="AB12">
        <v>6.4157458563535899E-2</v>
      </c>
      <c r="AC12">
        <v>3.8397790055248612E-2</v>
      </c>
      <c r="AD12">
        <v>0.14751381215469614</v>
      </c>
      <c r="AE12">
        <v>4.005524861878453E-3</v>
      </c>
      <c r="AF12">
        <v>0.19205801104972375</v>
      </c>
      <c r="AG12">
        <v>1.5400552486187845E-2</v>
      </c>
      <c r="AH12">
        <v>0.15048342541436463</v>
      </c>
      <c r="AI12">
        <v>1.084254143646409E-2</v>
      </c>
      <c r="AJ12">
        <v>6.8024861878453038E-2</v>
      </c>
      <c r="AK12">
        <v>2.6243093922651939E-3</v>
      </c>
      <c r="AL12">
        <v>4.8342541436464078E-3</v>
      </c>
      <c r="AM12">
        <v>0</v>
      </c>
      <c r="AN12" s="10">
        <v>5062</v>
      </c>
      <c r="AO12" s="4">
        <v>-170.84855384727115</v>
      </c>
      <c r="AP12" s="4">
        <v>19.70064139823149</v>
      </c>
      <c r="AQ12" s="4" t="s">
        <v>65</v>
      </c>
      <c r="AR12" s="4" t="s">
        <v>65</v>
      </c>
      <c r="AS12" s="4">
        <v>-113.89594109105599</v>
      </c>
      <c r="AT12" s="4">
        <v>5.6414375713200045</v>
      </c>
      <c r="AU12" s="4">
        <v>-117.52067283067804</v>
      </c>
      <c r="AV12" s="4">
        <v>17.663377775775466</v>
      </c>
      <c r="AW12" s="4">
        <v>-113.62056817726801</v>
      </c>
      <c r="AX12" s="4">
        <v>10.263068558346557</v>
      </c>
      <c r="AY12" s="4">
        <v>-201.89723913466614</v>
      </c>
      <c r="AZ12" s="4">
        <v>2.4018729267590078</v>
      </c>
      <c r="BA12" s="4">
        <v>-116.25506522512747</v>
      </c>
      <c r="BB12" s="4">
        <v>1.2871465645560511</v>
      </c>
      <c r="BC12" s="4">
        <v>-145.83591762395673</v>
      </c>
      <c r="BD12" s="4">
        <v>23.569992605670489</v>
      </c>
      <c r="BE12" s="4">
        <v>-139.83920461631607</v>
      </c>
      <c r="BF12" s="4">
        <v>6.8521993522289373</v>
      </c>
      <c r="BG12" s="4" t="s">
        <v>65</v>
      </c>
      <c r="BH12" s="4" t="s">
        <v>65</v>
      </c>
      <c r="BI12" s="4" t="s">
        <v>65</v>
      </c>
      <c r="BJ12" s="4" t="s">
        <v>65</v>
      </c>
      <c r="BK12" s="4">
        <v>-35.048638839016881</v>
      </c>
      <c r="BL12" s="4">
        <v>0.28197392798705151</v>
      </c>
      <c r="BM12" s="4">
        <v>-36.052015208833296</v>
      </c>
      <c r="BN12" s="4">
        <v>0.88208842297026702</v>
      </c>
      <c r="BO12" s="4">
        <v>-31.962176990957282</v>
      </c>
      <c r="BP12" s="4">
        <v>0.62474790231518607</v>
      </c>
      <c r="BQ12" s="4">
        <v>-30.887286827799116</v>
      </c>
      <c r="BR12" s="4">
        <v>3.5622362614100449E-2</v>
      </c>
      <c r="BS12" s="4">
        <v>-32.201468148512589</v>
      </c>
      <c r="BT12" s="4">
        <v>2.0312399285406253E-2</v>
      </c>
      <c r="BU12" s="4">
        <v>-31.579022710590053</v>
      </c>
      <c r="BV12" s="4">
        <v>3.5865299459122211E-3</v>
      </c>
      <c r="BW12" s="4">
        <v>-31.780696535368087</v>
      </c>
      <c r="BX12" s="4">
        <v>0.15217505938663933</v>
      </c>
      <c r="BY12" s="4">
        <v>-31.656094434881332</v>
      </c>
      <c r="BZ12" s="4">
        <v>0.78799299456175098</v>
      </c>
      <c r="CA12" s="4">
        <v>-31.911838331020526</v>
      </c>
      <c r="CB12" s="4">
        <v>0.17751659781854612</v>
      </c>
      <c r="CC12" s="4">
        <v>-33.571682283520857</v>
      </c>
      <c r="CD12" s="4">
        <v>0.18319801606229949</v>
      </c>
      <c r="CE12" s="4">
        <v>-32.867919237665774</v>
      </c>
      <c r="CF12" s="4">
        <v>3.7631339771406785E-2</v>
      </c>
      <c r="CG12" s="4">
        <v>-35.936086175042497</v>
      </c>
      <c r="CH12" s="4">
        <v>0.48925922752078199</v>
      </c>
      <c r="CI12" s="4">
        <v>-33.737794865633091</v>
      </c>
      <c r="CJ12" s="4">
        <v>0.27472632684755216</v>
      </c>
    </row>
    <row r="13" spans="1:88" x14ac:dyDescent="0.3">
      <c r="A13" t="s">
        <v>7</v>
      </c>
      <c r="B13" t="s">
        <v>21</v>
      </c>
      <c r="C13">
        <v>203</v>
      </c>
      <c r="D13">
        <v>12468</v>
      </c>
      <c r="E13">
        <v>11860</v>
      </c>
      <c r="F13">
        <v>13070</v>
      </c>
      <c r="H13" t="s">
        <v>11</v>
      </c>
      <c r="I13" t="s">
        <v>9</v>
      </c>
      <c r="J13">
        <v>5061</v>
      </c>
      <c r="K13">
        <v>5061</v>
      </c>
      <c r="L13">
        <f t="shared" si="2"/>
        <v>7.5083114345904303</v>
      </c>
      <c r="M13">
        <f t="shared" si="3"/>
        <v>30.05408102175214</v>
      </c>
      <c r="N13">
        <f t="shared" si="0"/>
        <v>25.962673521850899</v>
      </c>
      <c r="O13">
        <f t="shared" si="4"/>
        <v>0.39446125203630444</v>
      </c>
      <c r="P13">
        <f t="shared" si="1"/>
        <v>0.41875115805076896</v>
      </c>
      <c r="Q13">
        <f t="shared" si="5"/>
        <v>1.1383776414451261</v>
      </c>
      <c r="R13">
        <v>3.3288948069241015E-3</v>
      </c>
      <c r="S13">
        <v>1.3182423435419442E-2</v>
      </c>
      <c r="T13">
        <v>1.7909454061251665E-2</v>
      </c>
      <c r="U13">
        <v>2.4766977363515318E-2</v>
      </c>
      <c r="V13">
        <v>6.8974700399467376E-2</v>
      </c>
      <c r="W13">
        <v>2.8229027962716383E-2</v>
      </c>
      <c r="X13">
        <v>9.766977363515314E-2</v>
      </c>
      <c r="Y13">
        <v>9.234354194407457E-2</v>
      </c>
      <c r="Z13">
        <v>0.11284953395472704</v>
      </c>
      <c r="AA13">
        <v>3.5552596537949406E-2</v>
      </c>
      <c r="AB13">
        <v>3.7616511318242347E-2</v>
      </c>
      <c r="AC13">
        <v>1.6977363515312916E-2</v>
      </c>
      <c r="AD13">
        <v>6.271637816245007E-2</v>
      </c>
      <c r="AE13">
        <v>1.9307589880159786E-3</v>
      </c>
      <c r="AF13">
        <v>9.766977363515314E-2</v>
      </c>
      <c r="AG13">
        <v>8.1890812250332897E-3</v>
      </c>
      <c r="AH13">
        <v>0.11118508655126498</v>
      </c>
      <c r="AI13">
        <v>7.1904127829560596E-3</v>
      </c>
      <c r="AJ13">
        <v>5.8788282290279631E-2</v>
      </c>
      <c r="AK13">
        <v>3.4620505992010654E-3</v>
      </c>
      <c r="AL13">
        <v>3.2623169107856196E-3</v>
      </c>
      <c r="AM13">
        <v>0</v>
      </c>
      <c r="AN13" s="10">
        <v>5061</v>
      </c>
      <c r="AO13" s="4">
        <v>-194.70986982258444</v>
      </c>
      <c r="AP13" s="4">
        <v>10.238394595340331</v>
      </c>
      <c r="AQ13" s="4" t="s">
        <v>65</v>
      </c>
      <c r="AR13" s="4" t="s">
        <v>65</v>
      </c>
      <c r="AS13" s="4">
        <v>-156.86110073359498</v>
      </c>
      <c r="AT13" s="4">
        <v>28.24064754147517</v>
      </c>
      <c r="AU13" s="4" t="s">
        <v>65</v>
      </c>
      <c r="AV13" s="4" t="s">
        <v>65</v>
      </c>
      <c r="AW13" s="4">
        <v>-167.66103107140975</v>
      </c>
      <c r="AX13" s="4">
        <v>34.5219524419471</v>
      </c>
      <c r="AY13" s="4">
        <v>-201.3667537180213</v>
      </c>
      <c r="AZ13" s="4">
        <v>9.3370748590565533</v>
      </c>
      <c r="BA13" s="4">
        <v>-154.06346296709876</v>
      </c>
      <c r="BB13" s="4">
        <v>27.149375633996115</v>
      </c>
      <c r="BC13" s="4" t="s">
        <v>65</v>
      </c>
      <c r="BD13" s="4" t="s">
        <v>65</v>
      </c>
      <c r="BE13" s="4">
        <v>-149.08676415879933</v>
      </c>
      <c r="BF13" s="4">
        <v>21.002020219596567</v>
      </c>
      <c r="BG13" s="4" t="s">
        <v>65</v>
      </c>
      <c r="BH13" s="4" t="s">
        <v>65</v>
      </c>
      <c r="BI13" s="4" t="s">
        <v>65</v>
      </c>
      <c r="BJ13" s="4" t="s">
        <v>65</v>
      </c>
      <c r="BK13" s="4">
        <v>-36.240149125703795</v>
      </c>
      <c r="BL13" s="4">
        <v>0.51801437303189313</v>
      </c>
      <c r="BM13" s="4">
        <v>-37.202079565386313</v>
      </c>
      <c r="BN13" s="4">
        <v>3.8895179393589103</v>
      </c>
      <c r="BO13" s="4">
        <v>-31.268062630522635</v>
      </c>
      <c r="BP13" s="4">
        <v>0.30419642317932033</v>
      </c>
      <c r="BQ13" s="4">
        <v>-30.501275250384378</v>
      </c>
      <c r="BR13" s="4">
        <v>0.5623329604317201</v>
      </c>
      <c r="BS13" s="4">
        <v>-31.980162387418837</v>
      </c>
      <c r="BT13" s="4">
        <v>9.2997895677261553E-3</v>
      </c>
      <c r="BU13" s="4">
        <v>-31.640692365761822</v>
      </c>
      <c r="BV13" s="4">
        <v>0.40135152379988359</v>
      </c>
      <c r="BW13" s="4">
        <v>-30.580088175230856</v>
      </c>
      <c r="BX13" s="4">
        <v>0.78052146470828121</v>
      </c>
      <c r="BY13" s="4">
        <v>-36.101448444685268</v>
      </c>
      <c r="BZ13" s="4">
        <v>3.268419292803746E-2</v>
      </c>
      <c r="CA13" s="4">
        <v>-32.028198237130539</v>
      </c>
      <c r="CB13" s="4">
        <v>0.41450784554964798</v>
      </c>
      <c r="CC13" s="4">
        <v>-31.295381346409762</v>
      </c>
      <c r="CD13" s="4">
        <v>9.8882140409152344E-2</v>
      </c>
      <c r="CE13" s="4">
        <v>-33.061947546417926</v>
      </c>
      <c r="CF13" s="4">
        <v>0.28563398964201425</v>
      </c>
      <c r="CG13" s="4">
        <v>-39.51254549610033</v>
      </c>
      <c r="CH13" s="4">
        <v>6.0368723666200017</v>
      </c>
      <c r="CI13" s="4">
        <v>-34.846213701367319</v>
      </c>
      <c r="CJ13" s="4">
        <v>4.6433535298682771E-2</v>
      </c>
    </row>
    <row r="14" spans="1:88" x14ac:dyDescent="0.3">
      <c r="A14" t="s">
        <v>7</v>
      </c>
      <c r="B14" t="s">
        <v>22</v>
      </c>
      <c r="C14">
        <v>200</v>
      </c>
      <c r="D14">
        <v>11923</v>
      </c>
      <c r="E14">
        <v>11356</v>
      </c>
      <c r="F14">
        <v>12443</v>
      </c>
      <c r="H14" t="s">
        <v>11</v>
      </c>
      <c r="I14" t="s">
        <v>9</v>
      </c>
      <c r="J14">
        <v>4928</v>
      </c>
      <c r="K14">
        <v>4929</v>
      </c>
      <c r="L14">
        <f t="shared" si="2"/>
        <v>4.1243339998270594</v>
      </c>
      <c r="M14">
        <f t="shared" si="3"/>
        <v>28.784052670080467</v>
      </c>
      <c r="N14">
        <f t="shared" si="0"/>
        <v>25.997409993260437</v>
      </c>
      <c r="O14">
        <f t="shared" si="4"/>
        <v>0.54835314791806244</v>
      </c>
      <c r="P14">
        <f t="shared" si="1"/>
        <v>0.44370617234112641</v>
      </c>
      <c r="Q14">
        <f t="shared" si="5"/>
        <v>0.43778859353550498</v>
      </c>
      <c r="R14">
        <v>0</v>
      </c>
      <c r="S14">
        <v>1.1023703742130559E-2</v>
      </c>
      <c r="T14">
        <v>1.4770322007429833E-2</v>
      </c>
      <c r="U14">
        <v>2.2551759943051402E-2</v>
      </c>
      <c r="V14">
        <v>8.7325025721975397E-2</v>
      </c>
      <c r="W14">
        <v>0.12407070486241059</v>
      </c>
      <c r="X14">
        <v>0.40303682183436468</v>
      </c>
      <c r="Y14">
        <v>0.49196809415034781</v>
      </c>
      <c r="Z14">
        <v>0.40525455929860366</v>
      </c>
      <c r="AA14">
        <v>0.20920656745987745</v>
      </c>
      <c r="AB14">
        <v>0.2681244594264931</v>
      </c>
      <c r="AC14">
        <v>0.12751990419374157</v>
      </c>
      <c r="AD14">
        <v>0.58161360271726059</v>
      </c>
      <c r="AE14">
        <v>0.10405585433520348</v>
      </c>
      <c r="AF14">
        <v>0.5871827892873136</v>
      </c>
      <c r="AG14">
        <v>6.5950893592734594E-2</v>
      </c>
      <c r="AH14">
        <v>0.25706192747034778</v>
      </c>
      <c r="AI14">
        <v>4.059643894486107E-2</v>
      </c>
      <c r="AJ14">
        <v>6.7856141629858036E-2</v>
      </c>
      <c r="AK14">
        <v>1.2164275929326606E-2</v>
      </c>
      <c r="AL14">
        <v>8.8667312496898739E-3</v>
      </c>
      <c r="AM14">
        <v>6.5584499739441623E-2</v>
      </c>
    </row>
    <row r="15" spans="1:88" x14ac:dyDescent="0.3">
      <c r="A15" t="s">
        <v>7</v>
      </c>
      <c r="B15" t="s">
        <v>23</v>
      </c>
      <c r="C15">
        <v>199</v>
      </c>
      <c r="D15">
        <v>11771</v>
      </c>
      <c r="E15">
        <v>11302</v>
      </c>
      <c r="F15">
        <v>12217</v>
      </c>
      <c r="H15" t="s">
        <v>11</v>
      </c>
      <c r="I15" t="s">
        <v>9</v>
      </c>
      <c r="J15">
        <v>5060</v>
      </c>
      <c r="K15">
        <v>5060</v>
      </c>
      <c r="L15">
        <f t="shared" si="2"/>
        <v>9.1231937466613466</v>
      </c>
      <c r="M15">
        <f t="shared" si="3"/>
        <v>29.207180840100577</v>
      </c>
      <c r="N15">
        <f t="shared" si="0"/>
        <v>26.7698231679502</v>
      </c>
      <c r="O15">
        <f t="shared" si="4"/>
        <v>0.39979812097212514</v>
      </c>
      <c r="P15">
        <f t="shared" si="1"/>
        <v>0.36069617651089481</v>
      </c>
      <c r="Q15">
        <f t="shared" si="5"/>
        <v>0.60529938059187893</v>
      </c>
      <c r="R15">
        <v>2.5984251968503942E-3</v>
      </c>
      <c r="S15">
        <v>2.2440944881889767E-2</v>
      </c>
      <c r="T15">
        <v>2.7795275590551182E-2</v>
      </c>
      <c r="U15">
        <v>3.7874015748031495E-2</v>
      </c>
      <c r="V15">
        <v>0.13330708661417323</v>
      </c>
      <c r="W15">
        <v>6.1968503937007882E-2</v>
      </c>
      <c r="X15">
        <v>0.28031496062992134</v>
      </c>
      <c r="Y15">
        <v>0.25291338582677164</v>
      </c>
      <c r="Z15">
        <v>0.40543307086614183</v>
      </c>
      <c r="AA15">
        <v>0.13700787401574804</v>
      </c>
      <c r="AB15">
        <v>0.21629921259842519</v>
      </c>
      <c r="AC15">
        <v>9.700787401574805E-2</v>
      </c>
      <c r="AD15">
        <v>0.61503937007874021</v>
      </c>
      <c r="AE15">
        <v>1.1417322834645669E-2</v>
      </c>
      <c r="AF15">
        <v>0.68645669291338596</v>
      </c>
      <c r="AG15">
        <v>4.5669291338582677E-2</v>
      </c>
      <c r="AH15">
        <v>0.41551181102362217</v>
      </c>
      <c r="AI15">
        <v>2.3622047244094491E-2</v>
      </c>
      <c r="AJ15">
        <v>0.18204724409448822</v>
      </c>
      <c r="AK15">
        <v>5.8267716535433068E-3</v>
      </c>
      <c r="AL15">
        <v>1.1102362204724409E-2</v>
      </c>
      <c r="AM15">
        <v>8.2677165354330725E-3</v>
      </c>
      <c r="AN15" s="10">
        <v>5060</v>
      </c>
      <c r="AO15" s="4">
        <v>-209.14595835381863</v>
      </c>
      <c r="AP15" s="4">
        <v>3.7884649869195939</v>
      </c>
      <c r="AQ15" s="4">
        <v>-175.56300801420406</v>
      </c>
      <c r="AR15" s="4">
        <v>1.5756538298385487</v>
      </c>
      <c r="AS15" s="4">
        <v>-194.69467873006636</v>
      </c>
      <c r="AT15" s="4">
        <v>4.8990668605444085</v>
      </c>
      <c r="AU15" s="4">
        <v>-191.59877402249026</v>
      </c>
      <c r="AV15" s="4">
        <v>3.0675448523565656</v>
      </c>
      <c r="AW15" s="4">
        <v>-203.98685092850818</v>
      </c>
      <c r="AX15" s="4">
        <v>0.14373427189148866</v>
      </c>
      <c r="AY15" s="4">
        <v>-209.81221477335961</v>
      </c>
      <c r="AZ15" s="4">
        <v>1.6947871037668214</v>
      </c>
      <c r="BA15" s="4">
        <v>-209.26160382028309</v>
      </c>
      <c r="BB15" s="4">
        <v>3.4256933905294176</v>
      </c>
      <c r="BC15" s="4">
        <v>-207.1166429786486</v>
      </c>
      <c r="BD15" s="4">
        <v>3.0674852211651946</v>
      </c>
      <c r="BE15" s="4">
        <v>-204.85493582552016</v>
      </c>
      <c r="BF15" s="4">
        <v>8.5776921482564605E-2</v>
      </c>
      <c r="BG15" s="4">
        <v>-189.46402778809829</v>
      </c>
      <c r="BH15" s="4">
        <v>0.90503237183933438</v>
      </c>
      <c r="BI15" s="4" t="s">
        <v>65</v>
      </c>
      <c r="BJ15" s="4" t="s">
        <v>65</v>
      </c>
      <c r="BK15" s="4">
        <v>-33.295030512240196</v>
      </c>
      <c r="BL15" s="4">
        <v>0.51374637894581654</v>
      </c>
      <c r="BM15" s="4">
        <v>-32.887806778559678</v>
      </c>
      <c r="BN15" s="4">
        <v>0.49556759701013464</v>
      </c>
      <c r="BO15" s="4">
        <v>-31.771838980726255</v>
      </c>
      <c r="BP15" s="4">
        <v>0.10426124945108567</v>
      </c>
      <c r="BQ15" s="4">
        <v>-31.704814870412498</v>
      </c>
      <c r="BR15" s="4">
        <v>4.0994540457158057E-2</v>
      </c>
      <c r="BS15" s="4">
        <v>-33.172372903746989</v>
      </c>
      <c r="BT15" s="4">
        <v>0.28115875016371361</v>
      </c>
      <c r="BU15" s="4">
        <v>-32.593208240281179</v>
      </c>
      <c r="BV15" s="4">
        <v>9.0818150864985847E-2</v>
      </c>
      <c r="BW15" s="4">
        <v>-32.494412687152277</v>
      </c>
      <c r="BX15" s="4">
        <v>0.18447292024117357</v>
      </c>
      <c r="BY15" s="4">
        <v>-34.090099431984051</v>
      </c>
      <c r="BZ15" s="4">
        <v>5.5042628260494997E-2</v>
      </c>
      <c r="CA15" s="4">
        <v>-31.608384589859188</v>
      </c>
      <c r="CB15" s="4">
        <v>8.9787640644853617E-2</v>
      </c>
      <c r="CC15" s="4">
        <v>-33.254658186583164</v>
      </c>
      <c r="CD15" s="4">
        <v>8.8172804463898403E-3</v>
      </c>
      <c r="CE15" s="4">
        <v>-33.154116283236995</v>
      </c>
      <c r="CF15" s="4">
        <v>0.18425855157014998</v>
      </c>
      <c r="CG15" s="4">
        <v>-36.731337530192889</v>
      </c>
      <c r="CH15" s="4">
        <v>0.22060687271318763</v>
      </c>
      <c r="CI15" s="4">
        <v>-34.667459665936903</v>
      </c>
      <c r="CJ15" s="4">
        <v>9.1467533844830279E-2</v>
      </c>
    </row>
    <row r="16" spans="1:88" x14ac:dyDescent="0.3">
      <c r="A16" t="s">
        <v>24</v>
      </c>
      <c r="B16" t="s">
        <v>25</v>
      </c>
      <c r="C16">
        <v>198</v>
      </c>
      <c r="D16">
        <v>11609</v>
      </c>
      <c r="E16">
        <v>11232</v>
      </c>
      <c r="F16">
        <v>12050</v>
      </c>
      <c r="G16" t="s">
        <v>9</v>
      </c>
      <c r="H16" t="s">
        <v>11</v>
      </c>
      <c r="I16" t="s">
        <v>9</v>
      </c>
      <c r="J16">
        <v>5059</v>
      </c>
      <c r="K16">
        <v>5059</v>
      </c>
      <c r="L16">
        <f t="shared" si="2"/>
        <v>7.0792682926829276</v>
      </c>
      <c r="M16">
        <f t="shared" si="3"/>
        <v>29.271297509829623</v>
      </c>
      <c r="N16">
        <f t="shared" si="0"/>
        <v>27.119068934646375</v>
      </c>
      <c r="O16">
        <f t="shared" si="4"/>
        <v>0.32830188679245281</v>
      </c>
      <c r="P16">
        <f t="shared" si="1"/>
        <v>0.30897250361794504</v>
      </c>
      <c r="Q16">
        <f t="shared" si="5"/>
        <v>0.75874769797421737</v>
      </c>
      <c r="R16">
        <v>1.9565217391304349E-3</v>
      </c>
      <c r="S16">
        <v>0</v>
      </c>
      <c r="T16">
        <v>0</v>
      </c>
      <c r="U16">
        <v>2.1739130434782605E-3</v>
      </c>
      <c r="V16">
        <v>4.9999999999999992E-3</v>
      </c>
      <c r="W16">
        <v>5.3623188405797096E-3</v>
      </c>
      <c r="X16">
        <v>1.5362318840579712E-2</v>
      </c>
      <c r="Y16">
        <v>2.0362318840579711E-2</v>
      </c>
      <c r="Z16">
        <v>1.8913043478260869E-2</v>
      </c>
      <c r="AA16">
        <v>1.0144927536231883E-2</v>
      </c>
      <c r="AB16">
        <v>1.2028985507246378E-2</v>
      </c>
      <c r="AC16">
        <v>8.5507246376811587E-3</v>
      </c>
      <c r="AD16">
        <v>3.2536231884057971E-2</v>
      </c>
      <c r="AE16">
        <v>9.4202898550724637E-4</v>
      </c>
      <c r="AF16">
        <v>3.9347826086956521E-2</v>
      </c>
      <c r="AG16">
        <v>4.1304347826086954E-3</v>
      </c>
      <c r="AH16">
        <v>2.9855072463768118E-2</v>
      </c>
      <c r="AI16">
        <v>0</v>
      </c>
      <c r="AJ16">
        <v>8.8405797101449267E-3</v>
      </c>
      <c r="AK16">
        <v>0</v>
      </c>
      <c r="AL16">
        <v>0</v>
      </c>
      <c r="AM16">
        <v>0</v>
      </c>
      <c r="AN16" s="10">
        <v>5059</v>
      </c>
      <c r="AO16" s="4" t="s">
        <v>65</v>
      </c>
      <c r="AP16" s="4" t="s">
        <v>65</v>
      </c>
      <c r="AQ16" s="4" t="s">
        <v>65</v>
      </c>
      <c r="AR16" s="4" t="s">
        <v>65</v>
      </c>
      <c r="AS16" s="4" t="s">
        <v>65</v>
      </c>
      <c r="AT16" s="4" t="s">
        <v>65</v>
      </c>
      <c r="AU16" s="4" t="s">
        <v>65</v>
      </c>
      <c r="AV16" s="4" t="s">
        <v>65</v>
      </c>
      <c r="AW16" s="4" t="s">
        <v>65</v>
      </c>
      <c r="AX16" s="4" t="s">
        <v>65</v>
      </c>
      <c r="AY16" s="4" t="s">
        <v>65</v>
      </c>
      <c r="AZ16" s="4" t="s">
        <v>65</v>
      </c>
      <c r="BA16" s="4" t="s">
        <v>65</v>
      </c>
      <c r="BB16" s="4" t="s">
        <v>65</v>
      </c>
      <c r="BC16" s="4" t="s">
        <v>65</v>
      </c>
      <c r="BD16" s="4" t="s">
        <v>65</v>
      </c>
      <c r="BE16" s="4" t="s">
        <v>65</v>
      </c>
      <c r="BF16" s="4" t="s">
        <v>65</v>
      </c>
      <c r="BG16" s="4" t="s">
        <v>65</v>
      </c>
      <c r="BH16" s="4" t="s">
        <v>65</v>
      </c>
      <c r="BI16" s="4" t="s">
        <v>65</v>
      </c>
      <c r="BJ16" s="4" t="s">
        <v>65</v>
      </c>
      <c r="BK16" s="4" t="s">
        <v>65</v>
      </c>
      <c r="BL16" s="4" t="s">
        <v>65</v>
      </c>
      <c r="BM16" s="4" t="s">
        <v>65</v>
      </c>
      <c r="BN16" s="4" t="s">
        <v>65</v>
      </c>
      <c r="BO16" s="4">
        <v>-33.484353698616687</v>
      </c>
      <c r="BP16" s="4">
        <v>0.28649060128757381</v>
      </c>
      <c r="BQ16" s="4">
        <v>-31.998706334905275</v>
      </c>
      <c r="BR16" s="4">
        <v>0.47440761813557875</v>
      </c>
      <c r="BS16" s="4">
        <v>-31.212168441662794</v>
      </c>
      <c r="BT16" s="4">
        <v>0.80170363318768278</v>
      </c>
      <c r="BU16" s="4">
        <v>-31.372487968470793</v>
      </c>
      <c r="BV16" s="4">
        <v>1.6045266226763564</v>
      </c>
      <c r="BW16" s="4">
        <v>-32.044840126675865</v>
      </c>
      <c r="BX16" s="4">
        <v>0.38897443454871189</v>
      </c>
      <c r="BY16" s="4">
        <v>-30.704551233034291</v>
      </c>
      <c r="BZ16" s="4">
        <v>5.7287663236273351E-2</v>
      </c>
      <c r="CA16" s="4">
        <v>-32.131117909359951</v>
      </c>
      <c r="CB16" s="4">
        <v>1.1413343210345939</v>
      </c>
      <c r="CC16" s="4">
        <v>-37.442042298333064</v>
      </c>
      <c r="CD16" s="4">
        <v>1.5937151812882684</v>
      </c>
      <c r="CE16" s="4">
        <v>-36.103669581648504</v>
      </c>
      <c r="CF16" s="4">
        <v>0.10580375517826436</v>
      </c>
      <c r="CG16" s="4" t="s">
        <v>65</v>
      </c>
      <c r="CH16" s="4" t="s">
        <v>65</v>
      </c>
      <c r="CI16" s="4">
        <v>-38.856613577929437</v>
      </c>
      <c r="CJ16" s="4">
        <v>1.4658154441462214E-2</v>
      </c>
    </row>
    <row r="17" spans="1:88" x14ac:dyDescent="0.3">
      <c r="A17" t="s">
        <v>24</v>
      </c>
      <c r="B17" t="s">
        <v>26</v>
      </c>
      <c r="C17">
        <v>197</v>
      </c>
      <c r="D17">
        <v>11453</v>
      </c>
      <c r="E17">
        <v>11097</v>
      </c>
      <c r="F17">
        <v>11929</v>
      </c>
      <c r="H17" t="s">
        <v>11</v>
      </c>
      <c r="I17" t="s">
        <v>9</v>
      </c>
      <c r="J17">
        <v>5058</v>
      </c>
      <c r="K17">
        <v>5058</v>
      </c>
      <c r="L17">
        <f t="shared" si="2"/>
        <v>4.6147300248029701</v>
      </c>
      <c r="M17">
        <f t="shared" si="3"/>
        <v>28.838657586182684</v>
      </c>
      <c r="N17">
        <f t="shared" si="0"/>
        <v>27.443282294587018</v>
      </c>
      <c r="O17">
        <f t="shared" si="4"/>
        <v>0.27337138358590829</v>
      </c>
      <c r="P17">
        <f t="shared" si="1"/>
        <v>0.25986213769620459</v>
      </c>
      <c r="Q17">
        <f t="shared" si="5"/>
        <v>0.64428044280442809</v>
      </c>
      <c r="R17">
        <v>3.3783783783783786E-3</v>
      </c>
      <c r="S17">
        <v>8.0330330330330331E-3</v>
      </c>
      <c r="T17">
        <v>1.1786786786786789E-2</v>
      </c>
      <c r="U17">
        <v>1.3738738738738741E-2</v>
      </c>
      <c r="V17">
        <v>4.6096096096096092E-2</v>
      </c>
      <c r="W17">
        <v>4.6396396396396394E-2</v>
      </c>
      <c r="X17">
        <v>0.14399399399399401</v>
      </c>
      <c r="Y17">
        <v>0.17447447447447445</v>
      </c>
      <c r="Z17">
        <v>0.20855855855855859</v>
      </c>
      <c r="AA17">
        <v>0.15983483483483482</v>
      </c>
      <c r="AB17">
        <v>0.26126126126126126</v>
      </c>
      <c r="AC17">
        <v>0.23040540540540544</v>
      </c>
      <c r="AD17">
        <v>0.77042042042042047</v>
      </c>
      <c r="AE17">
        <v>2.5900900900900903E-2</v>
      </c>
      <c r="AF17">
        <v>0.8138138138138139</v>
      </c>
      <c r="AG17">
        <v>0.12530030030030032</v>
      </c>
      <c r="AH17">
        <v>0.52432432432432441</v>
      </c>
      <c r="AI17">
        <v>5.6981981981981983E-2</v>
      </c>
      <c r="AJ17">
        <v>1.6516516516516519E-2</v>
      </c>
      <c r="AK17">
        <v>1.666666666666667E-2</v>
      </c>
      <c r="AL17">
        <v>1.3513513513513514E-2</v>
      </c>
      <c r="AM17">
        <v>0</v>
      </c>
      <c r="AN17" s="10">
        <v>5058</v>
      </c>
      <c r="AO17" s="4">
        <v>-198.05862160812217</v>
      </c>
      <c r="AP17" s="4">
        <v>2.8612908407884623</v>
      </c>
      <c r="AQ17" s="4">
        <v>-195.8753639314136</v>
      </c>
      <c r="AR17" s="4">
        <v>4.9561049742052372</v>
      </c>
      <c r="AS17" s="4">
        <v>-185.94935440652543</v>
      </c>
      <c r="AT17" s="4">
        <v>0.97018330324816127</v>
      </c>
      <c r="AU17" s="4">
        <v>-186.15416151496743</v>
      </c>
      <c r="AV17" s="4">
        <v>4.8025193423046719</v>
      </c>
      <c r="AW17" s="4">
        <v>-207.01568093094608</v>
      </c>
      <c r="AX17" s="4">
        <v>2.4162269768280589</v>
      </c>
      <c r="AY17" s="4">
        <v>-210.853227038792</v>
      </c>
      <c r="AZ17" s="4">
        <v>2.1294908889417652</v>
      </c>
      <c r="BA17" s="4">
        <v>-205.91704545055177</v>
      </c>
      <c r="BB17" s="4">
        <v>1.1026282622999797</v>
      </c>
      <c r="BC17" s="4">
        <v>-204.76486936161353</v>
      </c>
      <c r="BD17" s="4">
        <v>0.19524814942577465</v>
      </c>
      <c r="BE17" s="4">
        <v>-204.85172952469327</v>
      </c>
      <c r="BF17" s="4">
        <v>0.27427411273673868</v>
      </c>
      <c r="BG17" s="4">
        <v>-198.47272656882419</v>
      </c>
      <c r="BH17" s="4">
        <v>6.4292250766698231</v>
      </c>
      <c r="BI17" s="4" t="s">
        <v>65</v>
      </c>
      <c r="BJ17" s="4" t="s">
        <v>65</v>
      </c>
      <c r="BK17" s="4">
        <v>-33.927605230952231</v>
      </c>
      <c r="BL17" s="4">
        <v>4.9704261335761835E-2</v>
      </c>
      <c r="BM17" s="4">
        <v>-33.885161338013873</v>
      </c>
      <c r="BN17" s="4">
        <v>0.44662946679795357</v>
      </c>
      <c r="BO17" s="4">
        <v>-32.778436953664666</v>
      </c>
      <c r="BP17" s="4">
        <v>0.65755090779189618</v>
      </c>
      <c r="BQ17" s="4">
        <v>-31.591578517685669</v>
      </c>
      <c r="BR17" s="4">
        <v>0.18757713567793852</v>
      </c>
      <c r="BS17" s="4">
        <v>-32.2909392597928</v>
      </c>
      <c r="BT17" s="4">
        <v>0.23608921793940546</v>
      </c>
      <c r="BU17" s="4">
        <v>-32.205514339145296</v>
      </c>
      <c r="BV17" s="4">
        <v>6.3707665427301038E-2</v>
      </c>
      <c r="BW17" s="4">
        <v>-31.943738556246927</v>
      </c>
      <c r="BX17" s="4">
        <v>4.1894457274961959E-2</v>
      </c>
      <c r="BY17" s="4">
        <v>-31.881232048210443</v>
      </c>
      <c r="BZ17" s="4">
        <v>6.254244381144046E-2</v>
      </c>
      <c r="CA17" s="4">
        <v>-31.654380456120577</v>
      </c>
      <c r="CB17" s="4">
        <v>2.0575086418847034E-3</v>
      </c>
      <c r="CC17" s="4">
        <v>-32.335023930458206</v>
      </c>
      <c r="CD17" s="4">
        <v>0.10769521503335305</v>
      </c>
      <c r="CE17" s="4">
        <v>-32.590461824164166</v>
      </c>
      <c r="CF17" s="4">
        <v>8.5535569427870661E-2</v>
      </c>
      <c r="CG17" s="4">
        <v>-33.198652107756025</v>
      </c>
      <c r="CH17" s="4">
        <v>0.26071935024557935</v>
      </c>
      <c r="CI17" s="4">
        <v>-33.975273528370693</v>
      </c>
      <c r="CJ17" s="4">
        <v>2.6264127439352802E-2</v>
      </c>
    </row>
    <row r="18" spans="1:88" x14ac:dyDescent="0.3">
      <c r="A18" t="s">
        <v>24</v>
      </c>
      <c r="B18" t="s">
        <v>27</v>
      </c>
      <c r="C18">
        <v>196</v>
      </c>
      <c r="D18">
        <v>11384</v>
      </c>
      <c r="E18">
        <v>11063</v>
      </c>
      <c r="F18">
        <v>11829</v>
      </c>
      <c r="G18" t="s">
        <v>9</v>
      </c>
      <c r="H18" t="s">
        <v>9</v>
      </c>
      <c r="J18" t="s">
        <v>9</v>
      </c>
    </row>
    <row r="19" spans="1:88" x14ac:dyDescent="0.3">
      <c r="A19" t="s">
        <v>24</v>
      </c>
      <c r="B19" t="s">
        <v>28</v>
      </c>
      <c r="C19">
        <v>195</v>
      </c>
      <c r="D19">
        <v>11313</v>
      </c>
      <c r="E19">
        <v>11012</v>
      </c>
      <c r="F19">
        <v>11753</v>
      </c>
      <c r="H19" t="s">
        <v>11</v>
      </c>
      <c r="I19" t="s">
        <v>9</v>
      </c>
      <c r="J19">
        <v>5057</v>
      </c>
      <c r="K19">
        <v>5057</v>
      </c>
      <c r="L19">
        <f t="shared" ref="L19:L28" si="6">0.5*(((AB19+AD19+AF19+AH19+AJ19)/(AA19+AC19+AE19+AG19+AI19))+((AB19+AD19+AF19+AH19+AJ19)/(AC19+AE19+AG19+AI19+AK19)))</f>
        <v>7.0807704874360526</v>
      </c>
      <c r="M19">
        <f t="shared" ref="M19:M28" si="7">((27*AD19)+(29*AF19)+(31*AH19)+(33*AJ19)+(35*AL19))/(AD19+AF19+AH19+AJ19+AL19)</f>
        <v>28.990471528797521</v>
      </c>
      <c r="N19">
        <f t="shared" si="0"/>
        <v>27.596873735329833</v>
      </c>
      <c r="O19">
        <f t="shared" ref="O19:O28" si="8">Z19/(Z19+AH19+AJ19+AL19)</f>
        <v>0.2407423696015481</v>
      </c>
      <c r="P19">
        <f t="shared" si="1"/>
        <v>0.25680331758443542</v>
      </c>
      <c r="Q19">
        <f t="shared" ref="Q19:Q28" si="9">AH19/AF19</f>
        <v>0.60240213523131658</v>
      </c>
      <c r="R19">
        <v>2.0725388601036268E-3</v>
      </c>
      <c r="S19">
        <v>7.8367875647668388E-3</v>
      </c>
      <c r="T19">
        <v>2.19559585492228E-2</v>
      </c>
      <c r="U19">
        <v>2.7007772020725393E-2</v>
      </c>
      <c r="V19">
        <v>0.10349740932642489</v>
      </c>
      <c r="W19">
        <v>8.2059585492227985E-2</v>
      </c>
      <c r="X19">
        <v>0.25939119170984454</v>
      </c>
      <c r="Y19">
        <v>0.290479274611399</v>
      </c>
      <c r="Z19">
        <v>0.35453367875647673</v>
      </c>
      <c r="AA19">
        <v>0.22383419689119174</v>
      </c>
      <c r="AB19">
        <v>0.45161917098445603</v>
      </c>
      <c r="AC19">
        <v>0.29488341968911919</v>
      </c>
      <c r="AD19">
        <v>1.3954663212435237</v>
      </c>
      <c r="AE19">
        <v>3.4326424870466325E-2</v>
      </c>
      <c r="AF19">
        <v>1.4559585492227982</v>
      </c>
      <c r="AG19">
        <v>0.13173575129533679</v>
      </c>
      <c r="AH19">
        <v>0.87707253886010361</v>
      </c>
      <c r="AI19">
        <v>5.9520725388601044E-2</v>
      </c>
      <c r="AJ19">
        <v>0.22370466321243526</v>
      </c>
      <c r="AK19">
        <v>1.3665803108808289E-2</v>
      </c>
      <c r="AL19">
        <v>1.7357512953367876E-2</v>
      </c>
      <c r="AM19">
        <v>0</v>
      </c>
      <c r="AN19" s="10">
        <v>5057</v>
      </c>
      <c r="AO19" s="4">
        <v>-204.60068394291716</v>
      </c>
      <c r="AP19" s="4">
        <v>0.89437201700711144</v>
      </c>
      <c r="AQ19" s="4">
        <v>-184.63515762926716</v>
      </c>
      <c r="AR19" s="4">
        <v>3.7574168428880648</v>
      </c>
      <c r="AS19" s="4">
        <v>-198.12773655640797</v>
      </c>
      <c r="AT19" s="4">
        <v>3.091548565980597</v>
      </c>
      <c r="AU19" s="4">
        <v>-199.91225374861745</v>
      </c>
      <c r="AV19" s="4">
        <v>1.6279668434132604</v>
      </c>
      <c r="AW19" s="4">
        <v>-209.77288261889066</v>
      </c>
      <c r="AX19" s="4">
        <v>1.9568515443407652</v>
      </c>
      <c r="AY19" s="4">
        <v>-222.92345727743171</v>
      </c>
      <c r="AZ19" s="4">
        <v>2.9639773128453286</v>
      </c>
      <c r="BA19" s="4">
        <v>-208.15773563954531</v>
      </c>
      <c r="BB19" s="4">
        <v>0.18371425211749862</v>
      </c>
      <c r="BC19" s="4">
        <v>-223.45740592249683</v>
      </c>
      <c r="BD19" s="4">
        <v>0.36202265655739563</v>
      </c>
      <c r="BE19" s="4">
        <v>-209.21116752752249</v>
      </c>
      <c r="BF19" s="4">
        <v>0.83540259693350971</v>
      </c>
      <c r="BG19" s="4">
        <v>-208.35342180596723</v>
      </c>
      <c r="BH19" s="4">
        <v>0.60462575327893808</v>
      </c>
      <c r="BI19" s="4">
        <v>-195.96281342256094</v>
      </c>
      <c r="BJ19" s="4">
        <v>0.67394525359791779</v>
      </c>
      <c r="BK19" s="4">
        <v>-31.910581804794955</v>
      </c>
      <c r="BL19" s="4">
        <v>0.99125042283663545</v>
      </c>
      <c r="BM19" s="4">
        <v>-35.769271405996669</v>
      </c>
      <c r="BN19" s="4">
        <v>0.91480078388162511</v>
      </c>
      <c r="BO19" s="4">
        <v>-32.323876339139872</v>
      </c>
      <c r="BP19" s="4">
        <v>5.0781098555160331E-2</v>
      </c>
      <c r="BQ19" s="4">
        <v>-31.516996793847113</v>
      </c>
      <c r="BR19" s="4">
        <v>2.3698262213671061E-2</v>
      </c>
      <c r="BS19" s="4">
        <v>-32.301043413217684</v>
      </c>
      <c r="BT19" s="4">
        <v>0.24019162669202629</v>
      </c>
      <c r="BU19" s="4">
        <v>-32.40596840160481</v>
      </c>
      <c r="BV19" s="4">
        <v>9.3531188010613445E-3</v>
      </c>
      <c r="BW19" s="4">
        <v>-32.388437272475294</v>
      </c>
      <c r="BX19" s="4">
        <v>7.7585602913064836E-2</v>
      </c>
      <c r="BY19" s="4">
        <v>-32.691137182928024</v>
      </c>
      <c r="BZ19" s="4">
        <v>0.19932759114434126</v>
      </c>
      <c r="CA19" s="4">
        <v>-32.005900691402751</v>
      </c>
      <c r="CB19" s="4">
        <v>0.15554788738552178</v>
      </c>
      <c r="CC19" s="4">
        <v>-33.602708200889438</v>
      </c>
      <c r="CD19" s="4">
        <v>0.25320226954327041</v>
      </c>
      <c r="CE19" s="4">
        <v>-32.894704613757881</v>
      </c>
      <c r="CF19" s="4">
        <v>0.14153127883440961</v>
      </c>
      <c r="CG19" s="4">
        <v>-34.907915832957357</v>
      </c>
      <c r="CH19" s="4">
        <v>0.18366153766199242</v>
      </c>
      <c r="CI19" s="4">
        <v>-34.495094552208933</v>
      </c>
      <c r="CJ19" s="4">
        <v>0.30591790331284796</v>
      </c>
    </row>
    <row r="20" spans="1:88" x14ac:dyDescent="0.3">
      <c r="A20" t="s">
        <v>24</v>
      </c>
      <c r="B20" t="s">
        <v>29</v>
      </c>
      <c r="C20">
        <v>193</v>
      </c>
      <c r="D20">
        <v>11177</v>
      </c>
      <c r="E20">
        <v>10826</v>
      </c>
      <c r="F20">
        <v>11630</v>
      </c>
      <c r="H20" t="s">
        <v>11</v>
      </c>
      <c r="I20" t="s">
        <v>9</v>
      </c>
      <c r="J20">
        <v>5056</v>
      </c>
      <c r="K20">
        <v>5056</v>
      </c>
      <c r="L20">
        <f t="shared" si="6"/>
        <v>3.7402847371351307</v>
      </c>
      <c r="M20">
        <f t="shared" si="7"/>
        <v>29.31265334735366</v>
      </c>
      <c r="N20">
        <f t="shared" si="0"/>
        <v>27.249875311720693</v>
      </c>
      <c r="O20">
        <f t="shared" si="8"/>
        <v>0.19429024583663757</v>
      </c>
      <c r="P20">
        <f t="shared" si="1"/>
        <v>0.2573467674223342</v>
      </c>
      <c r="Q20">
        <f t="shared" si="9"/>
        <v>0.75148514851485149</v>
      </c>
      <c r="R20">
        <v>2.2849462365591398E-3</v>
      </c>
      <c r="S20">
        <v>0</v>
      </c>
      <c r="T20">
        <v>7.1236559139784949E-3</v>
      </c>
      <c r="U20">
        <v>1.65994623655914E-2</v>
      </c>
      <c r="V20">
        <v>2.0698924731182799E-2</v>
      </c>
      <c r="W20">
        <v>2.0497311827956988E-2</v>
      </c>
      <c r="X20">
        <v>1.5860215053763439E-2</v>
      </c>
      <c r="Y20">
        <v>1.4650537634408604E-2</v>
      </c>
      <c r="Z20">
        <v>1.6465053763440859E-2</v>
      </c>
      <c r="AA20">
        <v>1.5322580645161288E-2</v>
      </c>
      <c r="AB20">
        <v>2.4731182795698928E-2</v>
      </c>
      <c r="AC20">
        <v>2.5268817204301075E-2</v>
      </c>
      <c r="AD20">
        <v>5.5577956989247307E-2</v>
      </c>
      <c r="AE20">
        <v>2.6881720430107529E-3</v>
      </c>
      <c r="AF20">
        <v>6.7876344086021501E-2</v>
      </c>
      <c r="AG20">
        <v>1.4852150537634407E-2</v>
      </c>
      <c r="AH20">
        <v>5.1008064516129027E-2</v>
      </c>
      <c r="AI20">
        <v>8.4005376344086016E-3</v>
      </c>
      <c r="AJ20">
        <v>1.7271505376344084E-2</v>
      </c>
      <c r="AK20">
        <v>0</v>
      </c>
      <c r="AL20">
        <v>0</v>
      </c>
      <c r="AM20">
        <v>0</v>
      </c>
      <c r="AN20" s="10">
        <v>5056</v>
      </c>
      <c r="AO20" s="4" t="s">
        <v>65</v>
      </c>
      <c r="AP20" s="4" t="s">
        <v>65</v>
      </c>
      <c r="AQ20" s="4" t="s">
        <v>65</v>
      </c>
      <c r="AR20" s="4" t="s">
        <v>65</v>
      </c>
      <c r="AS20" s="4" t="s">
        <v>65</v>
      </c>
      <c r="AT20" s="4" t="s">
        <v>65</v>
      </c>
      <c r="AU20" s="4" t="s">
        <v>65</v>
      </c>
      <c r="AV20" s="4" t="s">
        <v>65</v>
      </c>
      <c r="AW20" s="4" t="s">
        <v>65</v>
      </c>
      <c r="AX20" s="4" t="s">
        <v>65</v>
      </c>
      <c r="AY20" s="4" t="s">
        <v>65</v>
      </c>
      <c r="AZ20" s="4" t="s">
        <v>65</v>
      </c>
      <c r="BA20" s="4">
        <v>-117.77231512996241</v>
      </c>
      <c r="BB20" s="4">
        <v>63.41576500028583</v>
      </c>
      <c r="BC20" s="4">
        <v>-210.83912946866332</v>
      </c>
      <c r="BD20" s="4">
        <v>31.336677306070694</v>
      </c>
      <c r="BE20" s="4">
        <v>-145.74586456449708</v>
      </c>
      <c r="BF20" s="4">
        <v>14.100345764269616</v>
      </c>
      <c r="BG20" s="4">
        <v>-203.70239802972196</v>
      </c>
      <c r="BH20" s="4">
        <v>57.400041743210018</v>
      </c>
      <c r="BI20" s="4">
        <v>-128.8652916726312</v>
      </c>
      <c r="BJ20" s="4">
        <v>38.234190703242064</v>
      </c>
      <c r="BK20" s="4">
        <v>-26.261892893316947</v>
      </c>
      <c r="BL20" s="4">
        <v>0.36067419274422108</v>
      </c>
      <c r="BM20" s="4">
        <v>-26.593790838586077</v>
      </c>
      <c r="BN20" s="4">
        <v>1.4038563651033118E-2</v>
      </c>
      <c r="BO20" s="4">
        <v>-29.124229901711587</v>
      </c>
      <c r="BP20" s="4">
        <v>0.71343628944811976</v>
      </c>
      <c r="BQ20" s="4">
        <v>-28.917842389034043</v>
      </c>
      <c r="BR20" s="4">
        <v>0.86815830788899817</v>
      </c>
      <c r="BS20" s="4">
        <v>-30.045007169994939</v>
      </c>
      <c r="BT20" s="4">
        <v>0.13638337983163742</v>
      </c>
      <c r="BU20" s="4">
        <v>-31.450794339489605</v>
      </c>
      <c r="BV20" s="4">
        <v>0.27728510449672156</v>
      </c>
      <c r="BW20" s="4">
        <v>-31.396455872043628</v>
      </c>
      <c r="BX20" s="4">
        <v>0.30285141994894105</v>
      </c>
      <c r="BY20" s="4">
        <v>-30.751909142069117</v>
      </c>
      <c r="BZ20" s="4">
        <v>0.66784989666356831</v>
      </c>
      <c r="CA20" s="4">
        <v>-31.02919366994654</v>
      </c>
      <c r="CB20" s="4">
        <v>0.10330176239203587</v>
      </c>
      <c r="CC20" s="4">
        <v>-30.993939226261364</v>
      </c>
      <c r="CD20" s="4">
        <v>1.5182045247941813</v>
      </c>
      <c r="CE20" s="4">
        <v>-32.607939767123199</v>
      </c>
      <c r="CF20" s="4">
        <v>0.22912933743670247</v>
      </c>
      <c r="CG20" s="4">
        <v>-34.298823125347774</v>
      </c>
      <c r="CH20" s="4">
        <v>0.58332226554778455</v>
      </c>
      <c r="CI20" s="4">
        <v>-34.79715649655229</v>
      </c>
      <c r="CJ20" s="4">
        <v>0.83431273550178309</v>
      </c>
    </row>
    <row r="21" spans="1:88" x14ac:dyDescent="0.3">
      <c r="A21" t="s">
        <v>24</v>
      </c>
      <c r="B21" t="s">
        <v>30</v>
      </c>
      <c r="C21">
        <v>192</v>
      </c>
      <c r="D21">
        <v>11120</v>
      </c>
      <c r="E21">
        <v>10703</v>
      </c>
      <c r="F21">
        <v>11590</v>
      </c>
      <c r="G21" t="s">
        <v>9</v>
      </c>
      <c r="H21" t="s">
        <v>11</v>
      </c>
      <c r="I21" t="s">
        <v>9</v>
      </c>
      <c r="J21">
        <v>5055</v>
      </c>
      <c r="K21">
        <v>5055</v>
      </c>
      <c r="L21">
        <f t="shared" si="6"/>
        <v>7.1046634271948044</v>
      </c>
      <c r="M21">
        <f t="shared" si="7"/>
        <v>29.095190053707601</v>
      </c>
      <c r="N21">
        <f t="shared" si="0"/>
        <v>27.50581960889545</v>
      </c>
      <c r="O21">
        <f t="shared" si="8"/>
        <v>0.2882342564826248</v>
      </c>
      <c r="P21">
        <f t="shared" si="1"/>
        <v>0.28262397923314042</v>
      </c>
      <c r="Q21">
        <f t="shared" si="9"/>
        <v>0.60898394857073546</v>
      </c>
      <c r="R21">
        <v>2.7285129604365625E-3</v>
      </c>
      <c r="S21">
        <v>1.4597544338335608E-2</v>
      </c>
      <c r="T21">
        <v>3.3083219645293316E-2</v>
      </c>
      <c r="U21">
        <v>4.0586630286493869E-2</v>
      </c>
      <c r="V21">
        <v>0.14781718963165077</v>
      </c>
      <c r="W21">
        <v>8.6562073669849943E-2</v>
      </c>
      <c r="X21">
        <v>0.31418826739427019</v>
      </c>
      <c r="Y21">
        <v>0.4319236016371078</v>
      </c>
      <c r="Z21">
        <v>0.55729877216916779</v>
      </c>
      <c r="AA21">
        <v>0.31391541609822649</v>
      </c>
      <c r="AB21">
        <v>0.51214188267394267</v>
      </c>
      <c r="AC21">
        <v>0.31487039563437924</v>
      </c>
      <c r="AD21">
        <v>1.5343792633015008</v>
      </c>
      <c r="AE21">
        <v>3.6562073669849933E-2</v>
      </c>
      <c r="AF21">
        <v>1.6871077762619375</v>
      </c>
      <c r="AG21">
        <v>0.14904502046384721</v>
      </c>
      <c r="AH21">
        <v>1.0274215552523875</v>
      </c>
      <c r="AI21">
        <v>7.52387448840382E-2</v>
      </c>
      <c r="AJ21">
        <v>0.32053206002728518</v>
      </c>
      <c r="AK21">
        <v>2.2305593451568895E-2</v>
      </c>
      <c r="AL21">
        <v>2.8240109140518416E-2</v>
      </c>
      <c r="AM21">
        <v>3.956343792633015E-3</v>
      </c>
      <c r="AN21" s="10">
        <v>5055</v>
      </c>
      <c r="AO21" s="4">
        <v>-202.24723756927904</v>
      </c>
      <c r="AP21" s="4">
        <v>0.3125005721005053</v>
      </c>
      <c r="AQ21" s="4">
        <v>-188.46032160380389</v>
      </c>
      <c r="AR21" s="4">
        <v>3.1275588048710583</v>
      </c>
      <c r="AS21" s="4">
        <v>-193.43117271515001</v>
      </c>
      <c r="AT21" s="4">
        <v>0.19505743376214521</v>
      </c>
      <c r="AU21" s="4">
        <v>-195.22451895893079</v>
      </c>
      <c r="AV21" s="4">
        <v>2.9657397499813443</v>
      </c>
      <c r="AW21" s="4">
        <v>-216.90654600070417</v>
      </c>
      <c r="AX21" s="4">
        <v>1.3082586555554705</v>
      </c>
      <c r="AY21" s="4">
        <v>-219.6850054313233</v>
      </c>
      <c r="AZ21" s="4">
        <v>8.1069250839184743</v>
      </c>
      <c r="BA21" s="4">
        <v>-204.54965750494827</v>
      </c>
      <c r="BB21" s="4">
        <v>4.250985202493573</v>
      </c>
      <c r="BC21" s="4">
        <v>-220.74922977810746</v>
      </c>
      <c r="BD21" s="4">
        <v>4.1435198935055695</v>
      </c>
      <c r="BE21" s="4">
        <v>-208.96222875972273</v>
      </c>
      <c r="BF21" s="4">
        <v>1.5384914309047044</v>
      </c>
      <c r="BG21" s="4">
        <v>-207.01807844496926</v>
      </c>
      <c r="BH21" s="4">
        <v>3.5126463573303002</v>
      </c>
      <c r="BI21" s="4">
        <v>-196.1145751959109</v>
      </c>
      <c r="BJ21" s="4">
        <v>4.0603265464937</v>
      </c>
      <c r="BK21" s="4">
        <v>-33.364149837477498</v>
      </c>
      <c r="BL21" s="4">
        <v>0.6049975647189475</v>
      </c>
      <c r="BM21" s="4">
        <v>-33.592047783198936</v>
      </c>
      <c r="BN21" s="4">
        <v>9.1619920676118641E-2</v>
      </c>
      <c r="BO21" s="4">
        <v>-32.071060755952907</v>
      </c>
      <c r="BP21" s="4">
        <v>0.11442939277071267</v>
      </c>
      <c r="BQ21" s="4">
        <v>-31.386209605100156</v>
      </c>
      <c r="BR21" s="4">
        <v>4.4798444855800854E-2</v>
      </c>
      <c r="BS21" s="4">
        <v>-32.06181567757006</v>
      </c>
      <c r="BT21" s="4">
        <v>9.1204898446619317E-2</v>
      </c>
      <c r="BU21" s="4">
        <v>-32.304328787555434</v>
      </c>
      <c r="BV21" s="4">
        <v>3.6989380086859501E-2</v>
      </c>
      <c r="BW21" s="4">
        <v>-32.491043095722205</v>
      </c>
      <c r="BX21" s="4">
        <v>0.13581204941220923</v>
      </c>
      <c r="BY21" s="4">
        <v>-33.05928531589673</v>
      </c>
      <c r="BZ21" s="4">
        <v>0.56790935579606594</v>
      </c>
      <c r="CA21" s="4">
        <v>-32.017638842782894</v>
      </c>
      <c r="CB21" s="4">
        <v>7.0914844447890812E-2</v>
      </c>
      <c r="CC21" s="4">
        <v>-34.092593765276305</v>
      </c>
      <c r="CD21" s="4">
        <v>4.1759851536980246E-2</v>
      </c>
      <c r="CE21" s="4">
        <v>-33.090553223822674</v>
      </c>
      <c r="CF21" s="4">
        <v>7.7240191939823413E-2</v>
      </c>
      <c r="CG21" s="4">
        <v>-35.971045930566049</v>
      </c>
      <c r="CH21" s="4">
        <v>0.31754799188528265</v>
      </c>
      <c r="CI21" s="4">
        <v>-34.603446776641803</v>
      </c>
      <c r="CJ21" s="4">
        <v>0.1236220767430613</v>
      </c>
    </row>
    <row r="22" spans="1:88" x14ac:dyDescent="0.3">
      <c r="A22" t="s">
        <v>24</v>
      </c>
      <c r="B22" t="s">
        <v>31</v>
      </c>
      <c r="C22">
        <v>191</v>
      </c>
      <c r="D22">
        <v>11056</v>
      </c>
      <c r="E22">
        <v>10673</v>
      </c>
      <c r="F22">
        <v>11498</v>
      </c>
      <c r="H22" t="s">
        <v>11</v>
      </c>
      <c r="I22" t="s">
        <v>9</v>
      </c>
      <c r="J22">
        <v>5054</v>
      </c>
      <c r="K22">
        <v>5054</v>
      </c>
      <c r="L22">
        <f t="shared" si="6"/>
        <v>7.6017901797083676</v>
      </c>
      <c r="M22">
        <f t="shared" si="7"/>
        <v>28.935686166803997</v>
      </c>
      <c r="N22">
        <f t="shared" si="0"/>
        <v>27.584826794395706</v>
      </c>
      <c r="O22">
        <f t="shared" si="8"/>
        <v>0.25989437308469709</v>
      </c>
      <c r="P22">
        <f t="shared" si="1"/>
        <v>0.26304373662942709</v>
      </c>
      <c r="Q22">
        <f t="shared" si="9"/>
        <v>0.51533479960899309</v>
      </c>
      <c r="R22">
        <v>2.6530612244897965E-3</v>
      </c>
      <c r="S22">
        <v>7.6870748299319724E-3</v>
      </c>
      <c r="T22">
        <v>2.3333333333333338E-2</v>
      </c>
      <c r="U22">
        <v>3.1360544217687081E-2</v>
      </c>
      <c r="V22">
        <v>9.8435374149659874E-2</v>
      </c>
      <c r="W22">
        <v>4.7891156462585044E-2</v>
      </c>
      <c r="X22">
        <v>0.13959183673469389</v>
      </c>
      <c r="Y22">
        <v>0.17081632653061227</v>
      </c>
      <c r="Z22">
        <v>0.27115646258503406</v>
      </c>
      <c r="AA22">
        <v>0.16571428571428573</v>
      </c>
      <c r="AB22">
        <v>0.33108843537414973</v>
      </c>
      <c r="AC22">
        <v>0.20027210884353744</v>
      </c>
      <c r="AD22">
        <v>1.0865986394557823</v>
      </c>
      <c r="AE22">
        <v>2.2244897959183677E-2</v>
      </c>
      <c r="AF22">
        <v>1.1134693877551023</v>
      </c>
      <c r="AG22">
        <v>8.2585034013605466E-2</v>
      </c>
      <c r="AH22">
        <v>0.57380952380952388</v>
      </c>
      <c r="AI22">
        <v>4.6258503401360548E-2</v>
      </c>
      <c r="AJ22">
        <v>0.17789115646258505</v>
      </c>
      <c r="AK22">
        <v>1.938775510204082E-2</v>
      </c>
      <c r="AL22">
        <v>2.0476190476190478E-2</v>
      </c>
      <c r="AM22">
        <v>0</v>
      </c>
      <c r="AN22" s="10">
        <v>5054</v>
      </c>
      <c r="AO22" s="4" t="s">
        <v>65</v>
      </c>
      <c r="AP22" s="4" t="s">
        <v>65</v>
      </c>
      <c r="AQ22" s="4">
        <v>-162.78289430790838</v>
      </c>
      <c r="AR22" s="4">
        <v>3.1342425348814218</v>
      </c>
      <c r="AS22" s="4">
        <v>-159.52663667421371</v>
      </c>
      <c r="AT22" s="4">
        <v>3.0729742180028681</v>
      </c>
      <c r="AU22" s="4">
        <v>-184.36700584500818</v>
      </c>
      <c r="AV22" s="4">
        <v>0.85626757497727868</v>
      </c>
      <c r="AW22" s="4">
        <v>-212.36443170679613</v>
      </c>
      <c r="AX22" s="4">
        <v>4.140713070052791</v>
      </c>
      <c r="AY22" s="4">
        <v>-210.69963977100301</v>
      </c>
      <c r="AZ22" s="4">
        <v>2.1455413702072832</v>
      </c>
      <c r="BA22" s="4">
        <v>-211.08071927714215</v>
      </c>
      <c r="BB22" s="4">
        <v>3.8210430628511505</v>
      </c>
      <c r="BC22" s="4">
        <v>-217.70804792712642</v>
      </c>
      <c r="BD22" s="4">
        <v>2.8586889189578959</v>
      </c>
      <c r="BE22" s="4">
        <v>-206.79804837472554</v>
      </c>
      <c r="BF22" s="4">
        <v>0.78729519684657223</v>
      </c>
      <c r="BG22" s="4">
        <v>-210.88411389587469</v>
      </c>
      <c r="BH22" s="4">
        <v>4.5607368683352343</v>
      </c>
      <c r="BI22" s="4">
        <v>-200.94879472354074</v>
      </c>
      <c r="BJ22" s="4">
        <v>1.580022999788891</v>
      </c>
      <c r="BK22" s="4">
        <v>-29.674679888761702</v>
      </c>
      <c r="BL22" s="4">
        <v>9.3874041310763545E-2</v>
      </c>
      <c r="BM22" s="4">
        <v>-32.219673019953895</v>
      </c>
      <c r="BN22" s="4">
        <v>0.97659695596471907</v>
      </c>
      <c r="BO22" s="4">
        <v>-32.11477572990924</v>
      </c>
      <c r="BP22" s="4">
        <v>2.4434814824432285E-2</v>
      </c>
      <c r="BQ22" s="4">
        <v>-31.44344949383758</v>
      </c>
      <c r="BR22" s="4">
        <v>0.52391793889320892</v>
      </c>
      <c r="BS22" s="4">
        <v>-32.169826266501168</v>
      </c>
      <c r="BT22" s="4">
        <v>4.3219868595253591E-2</v>
      </c>
      <c r="BU22" s="4">
        <v>-31.537993173820443</v>
      </c>
      <c r="BV22" s="4">
        <v>0.15900318684111447</v>
      </c>
      <c r="BW22" s="4">
        <v>-32.220395498526429</v>
      </c>
      <c r="BX22" s="4">
        <v>0.11395234385861251</v>
      </c>
      <c r="BY22" s="4">
        <v>-33.307087288055442</v>
      </c>
      <c r="BZ22" s="4">
        <v>0.17481867881827121</v>
      </c>
      <c r="CA22" s="4">
        <v>-31.712834819988238</v>
      </c>
      <c r="CB22" s="4">
        <v>3.0405187387855404E-3</v>
      </c>
      <c r="CC22" s="4">
        <v>-33.673328673144134</v>
      </c>
      <c r="CD22" s="4">
        <v>0.14851730131738358</v>
      </c>
      <c r="CE22" s="4">
        <v>-32.831529593890778</v>
      </c>
      <c r="CF22" s="4">
        <v>3.1178352726416895E-2</v>
      </c>
      <c r="CG22" s="4">
        <v>-36.095063897289094</v>
      </c>
      <c r="CH22" s="4">
        <v>0.36813773997305316</v>
      </c>
      <c r="CI22" s="4">
        <v>-34.631536420342137</v>
      </c>
      <c r="CJ22" s="4">
        <v>7.220637088082521E-2</v>
      </c>
    </row>
    <row r="23" spans="1:88" x14ac:dyDescent="0.3">
      <c r="A23" t="s">
        <v>24</v>
      </c>
      <c r="B23" t="s">
        <v>32</v>
      </c>
      <c r="C23">
        <v>189</v>
      </c>
      <c r="D23">
        <v>10926</v>
      </c>
      <c r="E23">
        <v>10604</v>
      </c>
      <c r="F23">
        <v>11371</v>
      </c>
      <c r="H23" t="s">
        <v>11</v>
      </c>
      <c r="I23" t="s">
        <v>9</v>
      </c>
      <c r="J23">
        <v>5053</v>
      </c>
      <c r="K23">
        <v>5053</v>
      </c>
      <c r="L23">
        <f t="shared" si="6"/>
        <v>8.1238349518963382</v>
      </c>
      <c r="M23">
        <f t="shared" si="7"/>
        <v>28.927816075360013</v>
      </c>
      <c r="N23">
        <f t="shared" si="0"/>
        <v>27.18373661245537</v>
      </c>
      <c r="O23">
        <f t="shared" si="8"/>
        <v>0.33694636516538967</v>
      </c>
      <c r="P23">
        <f t="shared" si="1"/>
        <v>0.29173557412953111</v>
      </c>
      <c r="Q23">
        <f t="shared" si="9"/>
        <v>0.50156353643513685</v>
      </c>
      <c r="R23">
        <v>3.2595325953259533E-3</v>
      </c>
      <c r="S23">
        <v>6.3960639606396065E-3</v>
      </c>
      <c r="T23">
        <v>2.023370233702337E-2</v>
      </c>
      <c r="U23">
        <v>2.2017220172201722E-2</v>
      </c>
      <c r="V23">
        <v>7.6506765067650667E-2</v>
      </c>
      <c r="W23">
        <v>4.6924969249692493E-2</v>
      </c>
      <c r="X23">
        <v>0.15350553505535056</v>
      </c>
      <c r="Y23">
        <v>0.18708487084870848</v>
      </c>
      <c r="Z23">
        <v>0.22177121771217712</v>
      </c>
      <c r="AA23">
        <v>0.11113161131611315</v>
      </c>
      <c r="AB23">
        <v>0.17964329643296434</v>
      </c>
      <c r="AC23">
        <v>0.10319803198031981</v>
      </c>
      <c r="AD23">
        <v>0.61857318573185727</v>
      </c>
      <c r="AE23">
        <v>1.2177121771217712E-2</v>
      </c>
      <c r="AF23">
        <v>0.64901599015990163</v>
      </c>
      <c r="AG23">
        <v>4.4649446494464937E-2</v>
      </c>
      <c r="AH23">
        <v>0.32552275522755225</v>
      </c>
      <c r="AI23">
        <v>2.4600246002460024E-2</v>
      </c>
      <c r="AJ23">
        <v>0.10110701107011071</v>
      </c>
      <c r="AK23">
        <v>4.4280442804428034E-3</v>
      </c>
      <c r="AL23">
        <v>9.7785977859778609E-3</v>
      </c>
      <c r="AM23">
        <v>0</v>
      </c>
      <c r="AN23" s="10">
        <v>5053</v>
      </c>
      <c r="AO23" s="4">
        <v>-100.61324788191411</v>
      </c>
      <c r="AP23" s="4">
        <v>1.6808690801802904</v>
      </c>
      <c r="AQ23" s="4">
        <v>-105.36567468912804</v>
      </c>
      <c r="AR23" s="4">
        <v>3.0974724269102563</v>
      </c>
      <c r="AS23" s="4">
        <v>-103.78883607678235</v>
      </c>
      <c r="AT23" s="4">
        <v>1.5797675260971482</v>
      </c>
      <c r="AU23" s="4">
        <v>-96.572930111147912</v>
      </c>
      <c r="AV23" s="4">
        <v>1.2736803824015246</v>
      </c>
      <c r="AW23" s="4">
        <v>-182.41618006924165</v>
      </c>
      <c r="AX23" s="4">
        <v>1.4547806919171895</v>
      </c>
      <c r="AY23" s="4">
        <v>-189.79488022705675</v>
      </c>
      <c r="AZ23" s="4">
        <v>1.0358468693208749</v>
      </c>
      <c r="BA23" s="4">
        <v>-160.58344548125331</v>
      </c>
      <c r="BB23" s="4">
        <v>0.35809854788464679</v>
      </c>
      <c r="BC23" s="4">
        <v>-138.54705728697942</v>
      </c>
      <c r="BD23" s="4">
        <v>4.660855124482171</v>
      </c>
      <c r="BE23" s="4">
        <v>-134.34733141501724</v>
      </c>
      <c r="BF23" s="4">
        <v>2.1888431460934821</v>
      </c>
      <c r="BG23" s="4" t="s">
        <v>65</v>
      </c>
      <c r="BH23" s="4" t="s">
        <v>65</v>
      </c>
      <c r="BI23" s="4" t="s">
        <v>65</v>
      </c>
      <c r="BJ23" s="4" t="s">
        <v>65</v>
      </c>
      <c r="BK23" s="4">
        <v>-30.909694765695697</v>
      </c>
      <c r="BL23" s="4">
        <v>0.88136336541533078</v>
      </c>
      <c r="BM23" s="4">
        <v>-32.747249389038259</v>
      </c>
      <c r="BN23" s="4">
        <v>0.41064515704094007</v>
      </c>
      <c r="BO23" s="4">
        <v>-31.416839535100749</v>
      </c>
      <c r="BP23" s="4">
        <v>1.115822022318385E-2</v>
      </c>
      <c r="BQ23" s="4">
        <v>-31.149137480146909</v>
      </c>
      <c r="BR23" s="4">
        <v>4.3637091242450327E-2</v>
      </c>
      <c r="BS23" s="4">
        <v>-31.661747779247374</v>
      </c>
      <c r="BT23" s="4">
        <v>7.201521113173226E-2</v>
      </c>
      <c r="BU23" s="4">
        <v>-31.396889663067974</v>
      </c>
      <c r="BV23" s="4">
        <v>0.12188073529201389</v>
      </c>
      <c r="BW23" s="4">
        <v>-32.040047504276814</v>
      </c>
      <c r="BX23" s="4">
        <v>0.10964597590131894</v>
      </c>
      <c r="BY23" s="4">
        <v>-33.103996835225445</v>
      </c>
      <c r="BZ23" s="4">
        <v>0.33889101171798258</v>
      </c>
      <c r="CA23" s="4">
        <v>-31.318650272537269</v>
      </c>
      <c r="CB23" s="4">
        <v>8.2839057648540534E-2</v>
      </c>
      <c r="CC23" s="4">
        <v>-33.278305712983297</v>
      </c>
      <c r="CD23" s="4">
        <v>8.5657312086141885E-2</v>
      </c>
      <c r="CE23" s="4">
        <v>-32.04796200057109</v>
      </c>
      <c r="CF23" s="4">
        <v>3.3882895544155557E-2</v>
      </c>
      <c r="CG23" s="4">
        <v>-33.452431749065283</v>
      </c>
      <c r="CH23" s="4">
        <v>0.87987573395465735</v>
      </c>
      <c r="CI23" s="4">
        <v>-33.726009413626485</v>
      </c>
      <c r="CJ23" s="4">
        <v>1.9267655144869361E-2</v>
      </c>
    </row>
    <row r="24" spans="1:88" x14ac:dyDescent="0.3">
      <c r="A24" t="s">
        <v>24</v>
      </c>
      <c r="B24" t="s">
        <v>33</v>
      </c>
      <c r="C24">
        <v>188</v>
      </c>
      <c r="D24">
        <v>10860</v>
      </c>
      <c r="E24">
        <v>10561</v>
      </c>
      <c r="F24">
        <v>11329</v>
      </c>
      <c r="G24" t="s">
        <v>9</v>
      </c>
      <c r="H24" t="s">
        <v>11</v>
      </c>
      <c r="I24" t="s">
        <v>9</v>
      </c>
      <c r="J24">
        <v>5052</v>
      </c>
      <c r="K24">
        <v>5052</v>
      </c>
      <c r="L24">
        <f t="shared" si="6"/>
        <v>6.9406997624388946</v>
      </c>
      <c r="M24">
        <f t="shared" si="7"/>
        <v>29.136411673847654</v>
      </c>
      <c r="N24">
        <f t="shared" si="0"/>
        <v>26.878570244737858</v>
      </c>
      <c r="O24">
        <f t="shared" si="8"/>
        <v>0.36958798882681571</v>
      </c>
      <c r="P24">
        <f t="shared" si="1"/>
        <v>0.30919117647058825</v>
      </c>
      <c r="Q24">
        <f t="shared" si="9"/>
        <v>0.54269293924466344</v>
      </c>
      <c r="R24">
        <v>2.4271844660194173E-3</v>
      </c>
      <c r="S24">
        <v>4.9237170596393891E-3</v>
      </c>
      <c r="T24">
        <v>1.4285714285714287E-2</v>
      </c>
      <c r="U24">
        <v>2.5381414701803055E-2</v>
      </c>
      <c r="V24">
        <v>6.2205270457697651E-2</v>
      </c>
      <c r="W24">
        <v>3.8418862690707357E-2</v>
      </c>
      <c r="X24">
        <v>0.11220527045769765</v>
      </c>
      <c r="Y24">
        <v>0.12871012482662966</v>
      </c>
      <c r="Z24">
        <v>0.14680998613037452</v>
      </c>
      <c r="AA24">
        <v>7.0388349514563117E-2</v>
      </c>
      <c r="AB24">
        <v>8.6477115117891828E-2</v>
      </c>
      <c r="AC24">
        <v>5.6726768377253815E-2</v>
      </c>
      <c r="AD24">
        <v>0.2647711511789182</v>
      </c>
      <c r="AE24">
        <v>6.9348127600554789E-3</v>
      </c>
      <c r="AF24">
        <v>0.3378640776699029</v>
      </c>
      <c r="AG24">
        <v>2.1914008321775317E-2</v>
      </c>
      <c r="AH24">
        <v>0.18335644937586687</v>
      </c>
      <c r="AI24">
        <v>1.3384188626907073E-2</v>
      </c>
      <c r="AJ24">
        <v>6.1581137309292655E-2</v>
      </c>
      <c r="AK24">
        <v>1.2690707350901527E-2</v>
      </c>
      <c r="AL24">
        <v>5.4785020804438292E-3</v>
      </c>
      <c r="AM24">
        <v>0</v>
      </c>
      <c r="AN24" s="10">
        <v>5052</v>
      </c>
      <c r="AO24" s="4">
        <v>-93.713433952556883</v>
      </c>
      <c r="AP24" s="4">
        <v>2.2599273177441237</v>
      </c>
      <c r="AQ24" s="4">
        <v>-88.56681385054867</v>
      </c>
      <c r="AR24" s="4">
        <v>0.28497640118895856</v>
      </c>
      <c r="AS24" s="4">
        <v>-100.68994896137316</v>
      </c>
      <c r="AT24" s="4">
        <v>1.8881366018159027</v>
      </c>
      <c r="AU24" s="4">
        <v>-93.810072768658586</v>
      </c>
      <c r="AV24" s="4">
        <v>3.0792131912479208</v>
      </c>
      <c r="AW24" s="4">
        <v>-102.0091297745781</v>
      </c>
      <c r="AX24" s="4">
        <v>0.30682029565098151</v>
      </c>
      <c r="AY24" s="4">
        <v>-124.28424935674951</v>
      </c>
      <c r="AZ24" s="4">
        <v>15.502221412404358</v>
      </c>
      <c r="BA24" s="4">
        <v>-111.20080528267172</v>
      </c>
      <c r="BB24" s="4">
        <v>3.5269099787701745</v>
      </c>
      <c r="BC24" s="4">
        <v>-92.600905287861124</v>
      </c>
      <c r="BD24" s="4">
        <v>3.9266426534579422</v>
      </c>
      <c r="BE24" s="4">
        <v>-102.94752815893116</v>
      </c>
      <c r="BF24" s="4">
        <v>1.2161551885597732</v>
      </c>
      <c r="BG24" s="4" t="s">
        <v>65</v>
      </c>
      <c r="BH24" s="4" t="s">
        <v>65</v>
      </c>
      <c r="BI24" s="4" t="s">
        <v>65</v>
      </c>
      <c r="BJ24" s="4" t="s">
        <v>65</v>
      </c>
      <c r="BK24" s="4">
        <v>-30.139031498989421</v>
      </c>
      <c r="BL24" s="4">
        <v>0.3514428214271817</v>
      </c>
      <c r="BM24" s="4">
        <v>-32.721503645310193</v>
      </c>
      <c r="BN24" s="4">
        <v>0.55561843230815455</v>
      </c>
      <c r="BO24" s="4">
        <v>-29.344982160508422</v>
      </c>
      <c r="BP24" s="4">
        <v>0.28026633870677436</v>
      </c>
      <c r="BQ24" s="4">
        <v>-31.128792300904834</v>
      </c>
      <c r="BR24" s="4">
        <v>3.2758879667654277E-2</v>
      </c>
      <c r="BS24" s="4">
        <v>-31.359470725595244</v>
      </c>
      <c r="BT24" s="4">
        <v>0.1396236735587002</v>
      </c>
      <c r="BU24" s="4">
        <v>-31.156664350390955</v>
      </c>
      <c r="BV24" s="4">
        <v>0.54424550415205408</v>
      </c>
      <c r="BW24" s="4">
        <v>-31.548306801589796</v>
      </c>
      <c r="BX24" s="4">
        <v>8.1353114516995048E-2</v>
      </c>
      <c r="BY24" s="4">
        <v>-30.735335400938347</v>
      </c>
      <c r="BZ24" s="4">
        <v>0.38320897330727</v>
      </c>
      <c r="CA24" s="4">
        <v>-30.884623816179918</v>
      </c>
      <c r="CB24" s="4">
        <v>0.14808526531359642</v>
      </c>
      <c r="CC24" s="4">
        <v>-32.891608808404229</v>
      </c>
      <c r="CD24" s="4">
        <v>0.45683341960281487</v>
      </c>
      <c r="CE24" s="4">
        <v>-31.775916223565133</v>
      </c>
      <c r="CF24" s="4">
        <v>2.8470104665298625E-2</v>
      </c>
      <c r="CG24" s="4">
        <v>-33.729569124828615</v>
      </c>
      <c r="CH24" s="4">
        <v>0.71390124544149347</v>
      </c>
      <c r="CI24" s="4">
        <v>-32.875739110267233</v>
      </c>
      <c r="CJ24" s="4">
        <v>0.18729468350133202</v>
      </c>
    </row>
    <row r="25" spans="1:88" x14ac:dyDescent="0.3">
      <c r="A25" t="s">
        <v>24</v>
      </c>
      <c r="B25" t="s">
        <v>34</v>
      </c>
      <c r="C25">
        <v>187</v>
      </c>
      <c r="D25">
        <v>10798</v>
      </c>
      <c r="E25">
        <v>10494</v>
      </c>
      <c r="F25">
        <v>11281</v>
      </c>
      <c r="H25" t="s">
        <v>11</v>
      </c>
      <c r="I25" t="s">
        <v>9</v>
      </c>
      <c r="J25">
        <v>4927</v>
      </c>
      <c r="K25">
        <v>4929</v>
      </c>
      <c r="L25">
        <f t="shared" si="6"/>
        <v>4.1822397998793344</v>
      </c>
      <c r="M25">
        <f t="shared" si="7"/>
        <v>29.623789897440808</v>
      </c>
      <c r="N25">
        <f t="shared" si="0"/>
        <v>26.169191982639397</v>
      </c>
      <c r="O25">
        <f t="shared" si="8"/>
        <v>0.49906599580831845</v>
      </c>
      <c r="P25">
        <f t="shared" si="1"/>
        <v>0.48042931460576704</v>
      </c>
      <c r="Q25">
        <f t="shared" si="9"/>
        <v>0.77983193277310903</v>
      </c>
      <c r="R25">
        <v>0</v>
      </c>
      <c r="S25">
        <v>8.6221820833090393E-3</v>
      </c>
      <c r="T25">
        <v>1.5187696880691151E-2</v>
      </c>
      <c r="U25">
        <v>2.341436602439886E-2</v>
      </c>
      <c r="V25">
        <v>1.0046028665873832E-2</v>
      </c>
      <c r="W25">
        <v>8.3927845783402649E-2</v>
      </c>
      <c r="X25">
        <v>0.29250160291527683</v>
      </c>
      <c r="Y25">
        <v>0.333812178909693</v>
      </c>
      <c r="Z25">
        <v>0.34168472482611412</v>
      </c>
      <c r="AA25">
        <v>0.14211162783147885</v>
      </c>
      <c r="AB25">
        <v>0.1309926712278737</v>
      </c>
      <c r="AC25">
        <v>6.1438322254956872E-2</v>
      </c>
      <c r="AD25">
        <v>0.20917323474454777</v>
      </c>
      <c r="AE25">
        <v>5.156924748894428E-2</v>
      </c>
      <c r="AF25">
        <v>0.28721094155309063</v>
      </c>
      <c r="AG25">
        <v>2.8881996643574097E-2</v>
      </c>
      <c r="AH25">
        <v>0.22397626366493112</v>
      </c>
      <c r="AI25">
        <v>2.8479740422911501E-2</v>
      </c>
      <c r="AJ25">
        <v>0.1099768507291526</v>
      </c>
      <c r="AK25">
        <v>1.1424076666817608E-2</v>
      </c>
      <c r="AL25">
        <v>9.0105393428420583E-3</v>
      </c>
      <c r="AM25">
        <v>0.23692891397026664</v>
      </c>
    </row>
    <row r="26" spans="1:88" x14ac:dyDescent="0.3">
      <c r="A26" t="s">
        <v>24</v>
      </c>
      <c r="B26" t="s">
        <v>35</v>
      </c>
      <c r="C26">
        <v>185</v>
      </c>
      <c r="D26">
        <v>10687</v>
      </c>
      <c r="E26">
        <v>10458</v>
      </c>
      <c r="F26">
        <v>10992</v>
      </c>
      <c r="H26" t="s">
        <v>11</v>
      </c>
      <c r="I26" t="s">
        <v>9</v>
      </c>
      <c r="J26">
        <v>5051</v>
      </c>
      <c r="K26">
        <v>5051</v>
      </c>
      <c r="L26">
        <f t="shared" si="6"/>
        <v>7.0746838279354325</v>
      </c>
      <c r="M26">
        <f t="shared" si="7"/>
        <v>28.948215237080451</v>
      </c>
      <c r="N26">
        <f t="shared" si="0"/>
        <v>26.411095967822362</v>
      </c>
      <c r="O26">
        <f t="shared" si="8"/>
        <v>0.47358675525541877</v>
      </c>
      <c r="P26">
        <f t="shared" si="1"/>
        <v>0.37282976324689959</v>
      </c>
      <c r="Q26">
        <f t="shared" si="9"/>
        <v>0.50188984881209497</v>
      </c>
      <c r="R26">
        <v>2.7656477438136829E-3</v>
      </c>
      <c r="S26">
        <v>1.2445414847161574E-2</v>
      </c>
      <c r="T26">
        <v>3.4133915574963612E-2</v>
      </c>
      <c r="U26">
        <v>3.7845705967976713E-3</v>
      </c>
      <c r="V26">
        <v>0.10320232896652111</v>
      </c>
      <c r="W26">
        <v>8.486171761280932E-2</v>
      </c>
      <c r="X26">
        <v>0.24570596797671032</v>
      </c>
      <c r="Y26">
        <v>0.32852983988355167</v>
      </c>
      <c r="Z26">
        <v>0.31644832605531292</v>
      </c>
      <c r="AA26">
        <v>0.15967976710334791</v>
      </c>
      <c r="AB26">
        <v>0.16491994177583696</v>
      </c>
      <c r="AC26">
        <v>9.6360989810771472E-2</v>
      </c>
      <c r="AD26">
        <v>0.47518195050946149</v>
      </c>
      <c r="AE26">
        <v>1.0116448326055311E-2</v>
      </c>
      <c r="AF26">
        <v>0.53915574963609902</v>
      </c>
      <c r="AG26">
        <v>3.6026200873362446E-2</v>
      </c>
      <c r="AH26">
        <v>0.27059679767103345</v>
      </c>
      <c r="AI26">
        <v>1.6957787481804949E-2</v>
      </c>
      <c r="AJ26">
        <v>7.4235807860262015E-2</v>
      </c>
      <c r="AK26">
        <v>3.129548762736536E-3</v>
      </c>
      <c r="AL26">
        <v>6.9141193595342069E-3</v>
      </c>
      <c r="AM26">
        <v>0</v>
      </c>
      <c r="AN26" s="10">
        <v>5051</v>
      </c>
      <c r="AO26" s="4">
        <v>-133.4595218945889</v>
      </c>
      <c r="AP26" s="4">
        <v>3.2136105078627781</v>
      </c>
      <c r="AQ26" s="4">
        <v>-136.77718584291881</v>
      </c>
      <c r="AR26" s="4">
        <v>1.5540129368036892</v>
      </c>
      <c r="AS26" s="4">
        <v>-115.66158117563532</v>
      </c>
      <c r="AT26" s="4">
        <v>4.5654776862898343</v>
      </c>
      <c r="AU26" s="4">
        <v>-111.50634403880774</v>
      </c>
      <c r="AV26" s="4">
        <v>1.1581164929106196</v>
      </c>
      <c r="AW26" s="4">
        <v>-121.27293685287063</v>
      </c>
      <c r="AX26" s="4">
        <v>2.5859552893093638</v>
      </c>
      <c r="AY26" s="4">
        <v>-143.19082161682036</v>
      </c>
      <c r="AZ26" s="4">
        <v>4.7318837340803599</v>
      </c>
      <c r="BA26" s="4">
        <v>-151.71294056540648</v>
      </c>
      <c r="BB26" s="4">
        <v>0.50954325651893628</v>
      </c>
      <c r="BC26" s="4">
        <v>-149.87133731909276</v>
      </c>
      <c r="BD26" s="4">
        <v>1.7224120262366072</v>
      </c>
      <c r="BE26" s="4">
        <v>-161.95476999406958</v>
      </c>
      <c r="BF26" s="4">
        <v>4.8864992845316966</v>
      </c>
      <c r="BG26" s="4">
        <v>-183.52725423266509</v>
      </c>
      <c r="BH26" s="4">
        <v>31.065351235509755</v>
      </c>
      <c r="BI26" s="4" t="s">
        <v>65</v>
      </c>
      <c r="BJ26" s="4" t="s">
        <v>65</v>
      </c>
      <c r="BK26" s="4">
        <v>-29.010397037382504</v>
      </c>
      <c r="BL26" s="4">
        <v>1.630174275986326E-2</v>
      </c>
      <c r="BM26" s="4">
        <v>-29.617455506705266</v>
      </c>
      <c r="BN26" s="4">
        <v>0.46569446916031215</v>
      </c>
      <c r="BO26" s="4">
        <v>-30.670641013068174</v>
      </c>
      <c r="BP26" s="4">
        <v>0.1714385755207706</v>
      </c>
      <c r="BQ26" s="4">
        <v>-30.727924494359481</v>
      </c>
      <c r="BR26" s="4">
        <v>9.4971244374849328E-2</v>
      </c>
      <c r="BS26" s="4">
        <v>-31.005624039199944</v>
      </c>
      <c r="BT26" s="4">
        <v>0.13847140427644808</v>
      </c>
      <c r="BU26" s="4">
        <v>-31.225997740812332</v>
      </c>
      <c r="BV26" s="4">
        <v>0.31169129204316637</v>
      </c>
      <c r="BW26" s="4">
        <v>-31.238945011401206</v>
      </c>
      <c r="BX26" s="4">
        <v>0.23522454655003738</v>
      </c>
      <c r="BY26" s="4">
        <v>-31.832532566011274</v>
      </c>
      <c r="BZ26" s="4">
        <v>0.40625086478629474</v>
      </c>
      <c r="CA26" s="4">
        <v>-30.742631979649943</v>
      </c>
      <c r="CB26" s="4">
        <v>0.13387523792219283</v>
      </c>
      <c r="CC26" s="4">
        <v>-32.754524994535288</v>
      </c>
      <c r="CD26" s="4">
        <v>0.41268284255655552</v>
      </c>
      <c r="CE26" s="4">
        <v>-31.686540650681739</v>
      </c>
      <c r="CF26" s="4">
        <v>0.15459438419677851</v>
      </c>
      <c r="CG26" s="4">
        <v>-33.390436727320626</v>
      </c>
      <c r="CH26" s="4">
        <v>1.2978906047556609</v>
      </c>
      <c r="CI26" s="4">
        <v>-32.724417413504668</v>
      </c>
      <c r="CJ26" s="4">
        <v>0.20592763927370708</v>
      </c>
    </row>
    <row r="27" spans="1:88" x14ac:dyDescent="0.3">
      <c r="A27" t="s">
        <v>24</v>
      </c>
      <c r="B27" t="s">
        <v>36</v>
      </c>
      <c r="C27">
        <v>183</v>
      </c>
      <c r="D27">
        <v>10576</v>
      </c>
      <c r="E27">
        <v>10401</v>
      </c>
      <c r="F27">
        <v>10727</v>
      </c>
      <c r="H27" t="s">
        <v>11</v>
      </c>
      <c r="I27" t="s">
        <v>9</v>
      </c>
      <c r="J27">
        <v>5050</v>
      </c>
      <c r="K27">
        <v>5050</v>
      </c>
      <c r="L27">
        <f t="shared" si="6"/>
        <v>8.0694822608080017</v>
      </c>
      <c r="M27">
        <f t="shared" si="7"/>
        <v>28.85294836093605</v>
      </c>
      <c r="N27">
        <f t="shared" si="0"/>
        <v>26.818169835568593</v>
      </c>
      <c r="O27">
        <f t="shared" si="8"/>
        <v>0.47952015562520262</v>
      </c>
      <c r="P27">
        <f t="shared" si="1"/>
        <v>0.36741078530144761</v>
      </c>
      <c r="Q27">
        <f t="shared" si="9"/>
        <v>0.4598629466470876</v>
      </c>
      <c r="R27">
        <v>0</v>
      </c>
      <c r="S27">
        <v>0</v>
      </c>
      <c r="T27">
        <v>8.7140439932318105E-3</v>
      </c>
      <c r="U27">
        <v>1.5228426395939084E-3</v>
      </c>
      <c r="V27">
        <v>6.7343485617597301E-2</v>
      </c>
      <c r="W27">
        <v>4.6615905245346874E-2</v>
      </c>
      <c r="X27">
        <v>0.19077834179357026</v>
      </c>
      <c r="Y27">
        <v>0.34111675126903551</v>
      </c>
      <c r="Z27">
        <v>0.37538071065989848</v>
      </c>
      <c r="AA27">
        <v>0.19856175972927242</v>
      </c>
      <c r="AB27">
        <v>0.21082910321489004</v>
      </c>
      <c r="AC27">
        <v>0.10761421319796956</v>
      </c>
      <c r="AD27">
        <v>0.63291032148900173</v>
      </c>
      <c r="AE27">
        <v>1.0998307952622674E-2</v>
      </c>
      <c r="AF27">
        <v>0.69137055837563455</v>
      </c>
      <c r="AG27">
        <v>3.7817258883248731E-2</v>
      </c>
      <c r="AH27">
        <v>0.31793570219966161</v>
      </c>
      <c r="AI27">
        <v>1.7174280879864636E-2</v>
      </c>
      <c r="AJ27">
        <v>8.0879864636209817E-2</v>
      </c>
      <c r="AK27">
        <v>3.1302876480541453E-3</v>
      </c>
      <c r="AL27">
        <v>8.6294416243654828E-3</v>
      </c>
      <c r="AM27">
        <v>0</v>
      </c>
      <c r="AN27" s="10">
        <v>5050</v>
      </c>
      <c r="AO27" s="4">
        <v>-61.629643488431903</v>
      </c>
      <c r="AP27" s="4">
        <v>10.661287434411879</v>
      </c>
      <c r="AQ27" s="4">
        <v>-86.301333335968721</v>
      </c>
      <c r="AR27" s="4">
        <v>0.1613784340067109</v>
      </c>
      <c r="AS27" s="4">
        <v>-120.16886103973138</v>
      </c>
      <c r="AT27" s="4">
        <v>1.2933764432938621</v>
      </c>
      <c r="AU27" s="4">
        <v>-89.003608476123503</v>
      </c>
      <c r="AV27" s="4">
        <v>4.2563682348545111</v>
      </c>
      <c r="AW27" s="4">
        <v>-90.388901706081526</v>
      </c>
      <c r="AX27" s="4">
        <v>2.8434764209691683</v>
      </c>
      <c r="AY27" s="4">
        <v>-76.676189238398152</v>
      </c>
      <c r="AZ27" s="4">
        <v>40.121314665978659</v>
      </c>
      <c r="BA27" s="4">
        <v>-107.76658177645619</v>
      </c>
      <c r="BB27" s="4">
        <v>4.1220063864338155</v>
      </c>
      <c r="BC27" s="4">
        <v>-112.80429856391943</v>
      </c>
      <c r="BD27" s="4">
        <v>4.2315985356723109</v>
      </c>
      <c r="BE27" s="4" t="s">
        <v>65</v>
      </c>
      <c r="BF27" s="4" t="s">
        <v>65</v>
      </c>
      <c r="BG27" s="4" t="s">
        <v>65</v>
      </c>
      <c r="BH27" s="4" t="s">
        <v>65</v>
      </c>
      <c r="BI27" s="4" t="s">
        <v>65</v>
      </c>
      <c r="BJ27" s="4" t="s">
        <v>65</v>
      </c>
      <c r="BK27" s="4">
        <v>-30.005747271519009</v>
      </c>
      <c r="BL27" s="4">
        <v>0.38109213666659292</v>
      </c>
      <c r="BM27" s="4">
        <v>-32.216779774776938</v>
      </c>
      <c r="BN27" s="4">
        <v>0.73001422369775781</v>
      </c>
      <c r="BO27" s="4">
        <v>-25.6062699010618</v>
      </c>
      <c r="BP27" s="4">
        <v>0.50033077476091481</v>
      </c>
      <c r="BQ27" s="4">
        <v>-31.268309926560974</v>
      </c>
      <c r="BR27" s="4">
        <v>8.4241677916816887E-3</v>
      </c>
      <c r="BS27" s="4">
        <v>-31.459060092603323</v>
      </c>
      <c r="BT27" s="4">
        <v>0.12391058815213381</v>
      </c>
      <c r="BU27" s="4">
        <v>-31.873821367121881</v>
      </c>
      <c r="BV27" s="4">
        <v>7.060956270267349E-2</v>
      </c>
      <c r="BW27" s="4">
        <v>-31.899325014113607</v>
      </c>
      <c r="BX27" s="4">
        <v>5.3418649007220355E-2</v>
      </c>
      <c r="BY27" s="4">
        <v>-31.600726983579818</v>
      </c>
      <c r="BZ27" s="4">
        <v>1.3845378025324282</v>
      </c>
      <c r="CA27" s="4">
        <v>-31.106115506465983</v>
      </c>
      <c r="CB27" s="4">
        <v>3.8324343578116621E-2</v>
      </c>
      <c r="CC27" s="4">
        <v>-33.699798537975447</v>
      </c>
      <c r="CD27" s="4">
        <v>0.78520461358902682</v>
      </c>
      <c r="CE27" s="4">
        <v>-31.719064572618009</v>
      </c>
      <c r="CF27" s="4">
        <v>0.11303673352293826</v>
      </c>
      <c r="CG27" s="4" t="s">
        <v>65</v>
      </c>
      <c r="CH27" s="4" t="s">
        <v>65</v>
      </c>
      <c r="CI27" s="4" t="s">
        <v>65</v>
      </c>
      <c r="CJ27" s="4" t="s">
        <v>65</v>
      </c>
    </row>
    <row r="28" spans="1:88" x14ac:dyDescent="0.3">
      <c r="A28" t="s">
        <v>24</v>
      </c>
      <c r="B28" t="s">
        <v>37</v>
      </c>
      <c r="C28">
        <v>182</v>
      </c>
      <c r="D28">
        <v>10516</v>
      </c>
      <c r="E28">
        <v>10341</v>
      </c>
      <c r="F28">
        <v>10645</v>
      </c>
      <c r="G28" t="s">
        <v>9</v>
      </c>
      <c r="H28" t="s">
        <v>9</v>
      </c>
      <c r="I28" t="s">
        <v>9</v>
      </c>
      <c r="J28">
        <v>176</v>
      </c>
      <c r="K28">
        <v>5049</v>
      </c>
      <c r="L28">
        <f t="shared" si="6"/>
        <v>5.2179055842248445</v>
      </c>
      <c r="M28">
        <f t="shared" si="7"/>
        <v>28.843380848084454</v>
      </c>
      <c r="N28">
        <f t="shared" si="0"/>
        <v>26.873847840167407</v>
      </c>
      <c r="O28">
        <f t="shared" si="8"/>
        <v>0.41206571505521139</v>
      </c>
      <c r="P28">
        <f t="shared" si="1"/>
        <v>0.34779290166645466</v>
      </c>
      <c r="Q28">
        <f t="shared" si="9"/>
        <v>0.45131156822041896</v>
      </c>
      <c r="R28">
        <v>0</v>
      </c>
      <c r="S28">
        <v>3.0187207488299533E-2</v>
      </c>
      <c r="T28">
        <v>4.0873634945397815E-2</v>
      </c>
      <c r="U28">
        <v>4.5241809672386894E-3</v>
      </c>
      <c r="V28">
        <v>0.13159126365054605</v>
      </c>
      <c r="W28">
        <v>6.4118564742589701E-2</v>
      </c>
      <c r="X28">
        <v>0.20358814352574106</v>
      </c>
      <c r="Y28">
        <v>0.27277691107644303</v>
      </c>
      <c r="Z28">
        <v>0.3580343213728549</v>
      </c>
      <c r="AA28">
        <v>0.19282371294851794</v>
      </c>
      <c r="AB28">
        <v>0.28174726989079563</v>
      </c>
      <c r="AC28">
        <v>0.14867394695787831</v>
      </c>
      <c r="AD28">
        <v>0.8349453978159127</v>
      </c>
      <c r="AE28">
        <v>1.5990639625585022E-2</v>
      </c>
      <c r="AF28">
        <v>0.82667706708268329</v>
      </c>
      <c r="AG28">
        <v>5.647425897035882E-2</v>
      </c>
      <c r="AH28">
        <v>0.37308892355694229</v>
      </c>
      <c r="AI28">
        <v>0.15031201248049922</v>
      </c>
      <c r="AJ28">
        <v>0.12152886115444618</v>
      </c>
      <c r="AK28">
        <v>2.7223088923556946E-2</v>
      </c>
      <c r="AL28">
        <v>1.622464898595944E-2</v>
      </c>
      <c r="AM28">
        <v>0</v>
      </c>
      <c r="AN28" s="10">
        <v>5049</v>
      </c>
      <c r="AO28" s="4">
        <v>-136.01222269076544</v>
      </c>
      <c r="AP28" s="4">
        <v>1.6464447615629882</v>
      </c>
      <c r="AQ28" s="4">
        <v>-139.87569065197169</v>
      </c>
      <c r="AR28" s="4">
        <v>3.2402955842123591</v>
      </c>
      <c r="AS28" s="4">
        <v>-150.83315997777655</v>
      </c>
      <c r="AT28" s="4">
        <v>2.6974083917470044</v>
      </c>
      <c r="AU28" s="4">
        <v>-136.54426511535564</v>
      </c>
      <c r="AV28" s="4">
        <v>3.8143842709421092</v>
      </c>
      <c r="AW28" s="4">
        <v>-174.94141404277798</v>
      </c>
      <c r="AX28" s="4">
        <v>2.8247111750607554</v>
      </c>
      <c r="AY28" s="4">
        <v>-171.52360894836505</v>
      </c>
      <c r="AZ28" s="4">
        <v>4.345050845068446</v>
      </c>
      <c r="BA28" s="4">
        <v>-154.8344099730019</v>
      </c>
      <c r="BB28" s="4">
        <v>1.8539394854633275</v>
      </c>
      <c r="BC28" s="4">
        <v>-163.38403336812246</v>
      </c>
      <c r="BD28" s="4">
        <v>9.0505297572242487</v>
      </c>
      <c r="BE28" s="4">
        <v>-151.96717053797167</v>
      </c>
      <c r="BF28" s="4">
        <v>3.9214556090663963</v>
      </c>
      <c r="BG28" s="4" t="s">
        <v>65</v>
      </c>
      <c r="BH28" s="4" t="s">
        <v>65</v>
      </c>
      <c r="BI28" s="4" t="s">
        <v>65</v>
      </c>
      <c r="BJ28" s="4" t="s">
        <v>65</v>
      </c>
      <c r="BK28" s="4">
        <v>-33.387890698951409</v>
      </c>
      <c r="BL28" s="4">
        <v>0.11991843476774201</v>
      </c>
      <c r="BM28" s="4">
        <v>-30.458650412406989</v>
      </c>
      <c r="BN28" s="4">
        <v>1.01402580732463</v>
      </c>
      <c r="BO28" s="4">
        <v>-32.009335101162627</v>
      </c>
      <c r="BP28" s="4">
        <v>0.20738071725789775</v>
      </c>
      <c r="BQ28" s="4">
        <v>-31.39295638391723</v>
      </c>
      <c r="BR28" s="4">
        <v>0.13662421731640031</v>
      </c>
      <c r="BS28" s="4">
        <v>-32.139607607272033</v>
      </c>
      <c r="BT28" s="4">
        <v>1.3601906058614952E-2</v>
      </c>
      <c r="BU28" s="4">
        <v>-31.49721602394505</v>
      </c>
      <c r="BV28" s="4">
        <v>2.4423826266002167E-2</v>
      </c>
      <c r="BW28" s="4">
        <v>-32.364027162413066</v>
      </c>
      <c r="BX28" s="4">
        <v>1.8636284210046764E-2</v>
      </c>
      <c r="BY28" s="4">
        <v>-29.462530088394711</v>
      </c>
      <c r="BZ28" s="4">
        <v>0.25982387455843514</v>
      </c>
      <c r="CA28" s="4">
        <v>-31.752620378792287</v>
      </c>
      <c r="CB28" s="4">
        <v>3.2669311614245508E-2</v>
      </c>
      <c r="CC28" s="4">
        <v>-33.552625786934819</v>
      </c>
      <c r="CD28" s="4">
        <v>6.0248783175744789E-3</v>
      </c>
      <c r="CE28" s="4">
        <v>-32.680866533268158</v>
      </c>
      <c r="CF28" s="4">
        <v>1.3479383516729131E-3</v>
      </c>
      <c r="CG28" s="4" t="s">
        <v>65</v>
      </c>
      <c r="CH28" s="4" t="s">
        <v>65</v>
      </c>
      <c r="CI28" s="4">
        <v>-33.917859078776971</v>
      </c>
      <c r="CJ28" s="4">
        <v>0.24097283942445852</v>
      </c>
    </row>
    <row r="63" spans="11:11" x14ac:dyDescent="0.3">
      <c r="K63" s="11"/>
    </row>
  </sheetData>
  <conditionalFormatting sqref="A1:I1">
    <cfRule type="duplicateValues" dxfId="3" priority="11"/>
  </conditionalFormatting>
  <conditionalFormatting sqref="A1:XFD1"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399-96B0-4672-A75F-71BE32992BB5}">
  <dimension ref="A1:CH28"/>
  <sheetViews>
    <sheetView zoomScaleNormal="100" workbookViewId="0">
      <selection activeCell="I29" sqref="I29"/>
    </sheetView>
  </sheetViews>
  <sheetFormatPr defaultColWidth="11.5546875" defaultRowHeight="14.4" x14ac:dyDescent="0.3"/>
  <cols>
    <col min="1" max="1" width="22.88671875" bestFit="1" customWidth="1"/>
  </cols>
  <sheetData>
    <row r="1" spans="1:86" ht="17.399999999999999" x14ac:dyDescent="0.35">
      <c r="A1" t="s">
        <v>160</v>
      </c>
      <c r="B1" t="s">
        <v>84</v>
      </c>
      <c r="C1" t="s">
        <v>161</v>
      </c>
      <c r="D1" t="s">
        <v>79</v>
      </c>
      <c r="E1" t="s">
        <v>80</v>
      </c>
      <c r="F1" t="s">
        <v>81</v>
      </c>
      <c r="G1" t="s">
        <v>82</v>
      </c>
      <c r="H1" t="s">
        <v>62</v>
      </c>
      <c r="I1" t="s">
        <v>83</v>
      </c>
      <c r="J1" t="s">
        <v>157</v>
      </c>
      <c r="K1" t="s">
        <v>64</v>
      </c>
      <c r="L1" t="s">
        <v>78</v>
      </c>
      <c r="M1" t="s">
        <v>158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181</v>
      </c>
      <c r="AK1" t="s">
        <v>182</v>
      </c>
      <c r="AL1" s="3" t="s">
        <v>122</v>
      </c>
      <c r="AM1" s="3" t="s">
        <v>123</v>
      </c>
      <c r="AN1" s="3" t="s">
        <v>124</v>
      </c>
      <c r="AO1" s="3" t="s">
        <v>125</v>
      </c>
      <c r="AP1" s="3" t="s">
        <v>126</v>
      </c>
      <c r="AQ1" s="3" t="s">
        <v>127</v>
      </c>
      <c r="AR1" s="3" t="s">
        <v>128</v>
      </c>
      <c r="AS1" s="3" t="s">
        <v>129</v>
      </c>
      <c r="AT1" s="3" t="s">
        <v>130</v>
      </c>
      <c r="AU1" s="3" t="s">
        <v>131</v>
      </c>
      <c r="AV1" s="3" t="s">
        <v>132</v>
      </c>
      <c r="AW1" s="3" t="s">
        <v>133</v>
      </c>
      <c r="AX1" s="3" t="s">
        <v>134</v>
      </c>
      <c r="AY1" s="3" t="s">
        <v>135</v>
      </c>
      <c r="AZ1" s="3" t="s">
        <v>136</v>
      </c>
      <c r="BA1" s="3" t="s">
        <v>137</v>
      </c>
      <c r="BB1" s="3" t="s">
        <v>138</v>
      </c>
      <c r="BC1" s="3" t="s">
        <v>139</v>
      </c>
      <c r="BD1" s="3" t="s">
        <v>140</v>
      </c>
      <c r="BE1" s="3" t="s">
        <v>141</v>
      </c>
      <c r="BF1" s="3" t="s">
        <v>142</v>
      </c>
      <c r="BG1" s="3" t="s">
        <v>143</v>
      </c>
      <c r="BH1" s="3" t="s">
        <v>121</v>
      </c>
      <c r="BI1" s="3" t="s">
        <v>144</v>
      </c>
      <c r="BJ1" s="3" t="s">
        <v>66</v>
      </c>
      <c r="BK1" s="3" t="s">
        <v>145</v>
      </c>
      <c r="BL1" s="3" t="s">
        <v>67</v>
      </c>
      <c r="BM1" s="3" t="s">
        <v>146</v>
      </c>
      <c r="BN1" s="3" t="s">
        <v>68</v>
      </c>
      <c r="BO1" s="3" t="s">
        <v>147</v>
      </c>
      <c r="BP1" s="3" t="s">
        <v>69</v>
      </c>
      <c r="BQ1" s="3" t="s">
        <v>148</v>
      </c>
      <c r="BR1" s="3" t="s">
        <v>70</v>
      </c>
      <c r="BS1" s="3" t="s">
        <v>149</v>
      </c>
      <c r="BT1" s="3" t="s">
        <v>71</v>
      </c>
      <c r="BU1" s="3" t="s">
        <v>150</v>
      </c>
      <c r="BV1" s="3" t="s">
        <v>72</v>
      </c>
      <c r="BW1" s="3" t="s">
        <v>151</v>
      </c>
      <c r="BX1" s="3" t="s">
        <v>73</v>
      </c>
      <c r="BY1" s="3" t="s">
        <v>159</v>
      </c>
      <c r="BZ1" s="3" t="s">
        <v>152</v>
      </c>
      <c r="CA1" s="3" t="s">
        <v>74</v>
      </c>
      <c r="CB1" s="3" t="s">
        <v>153</v>
      </c>
      <c r="CC1" s="3" t="s">
        <v>75</v>
      </c>
      <c r="CD1" s="3" t="s">
        <v>154</v>
      </c>
      <c r="CE1" s="3" t="s">
        <v>76</v>
      </c>
      <c r="CF1" s="3" t="s">
        <v>155</v>
      </c>
      <c r="CG1" s="3" t="s">
        <v>77</v>
      </c>
      <c r="CH1" s="3" t="s">
        <v>156</v>
      </c>
    </row>
    <row r="2" spans="1:86" x14ac:dyDescent="0.3">
      <c r="A2" t="str">
        <f>_xlfn.CONCAT(B2," (",E2,"-",F2,")")</f>
        <v>225 (24336-25623)</v>
      </c>
      <c r="B2">
        <v>225</v>
      </c>
      <c r="C2">
        <f>((B2-B3)*10)/(D2-D3)</f>
        <v>4.4843049327354258E-2</v>
      </c>
      <c r="D2">
        <v>24929</v>
      </c>
      <c r="E2">
        <v>24336</v>
      </c>
      <c r="F2">
        <v>25623</v>
      </c>
      <c r="G2">
        <v>3.0083277330687528</v>
      </c>
      <c r="H2">
        <v>29.844183419923198</v>
      </c>
      <c r="I2">
        <v>0.52572002215452784</v>
      </c>
      <c r="J2">
        <f>AD2/Z2</f>
        <v>1.4355265838256264</v>
      </c>
      <c r="K2">
        <v>1.0590622182146077</v>
      </c>
      <c r="L2">
        <v>0.96582571344826851</v>
      </c>
      <c r="M2">
        <f>(Z2+AB2+AD2)/(N2+P2+R2)</f>
        <v>11.559006211180124</v>
      </c>
      <c r="N2">
        <v>0</v>
      </c>
      <c r="O2">
        <v>9.0707964601769928E-3</v>
      </c>
      <c r="P2">
        <v>1.4657079646017701E-2</v>
      </c>
      <c r="Q2">
        <v>1.9579646017699119E-2</v>
      </c>
      <c r="R2">
        <v>7.4391592920353994E-2</v>
      </c>
      <c r="S2">
        <v>3.4789823008849564E-2</v>
      </c>
      <c r="T2">
        <v>0.16742256637168143</v>
      </c>
      <c r="U2">
        <v>0.30901548672566376</v>
      </c>
      <c r="V2">
        <v>0.53053097345132749</v>
      </c>
      <c r="W2">
        <v>0.38921460176991157</v>
      </c>
      <c r="X2">
        <v>0.30945796460177</v>
      </c>
      <c r="Y2">
        <v>0.26194690265486725</v>
      </c>
      <c r="Z2">
        <v>0.27151548672566378</v>
      </c>
      <c r="AA2">
        <v>1.4435840707964604E-2</v>
      </c>
      <c r="AB2">
        <v>0.36803097345132751</v>
      </c>
      <c r="AC2">
        <v>6.1338495575221245E-2</v>
      </c>
      <c r="AD2">
        <v>0.38976769911504433</v>
      </c>
      <c r="AE2">
        <v>3.3683628318584076E-2</v>
      </c>
      <c r="AF2">
        <v>0.18639380530973457</v>
      </c>
      <c r="AG2">
        <v>8.7942477876106224E-3</v>
      </c>
      <c r="AH2">
        <v>8.573008849557525E-3</v>
      </c>
      <c r="AI2">
        <v>0</v>
      </c>
      <c r="AJ2" s="6">
        <v>-196.78363662287759</v>
      </c>
      <c r="AK2" s="6">
        <v>-33.208579026363246</v>
      </c>
      <c r="AL2" s="4">
        <v>-214.97700706702042</v>
      </c>
      <c r="AM2" s="4">
        <v>1.6650205837119523</v>
      </c>
      <c r="AN2" s="4">
        <v>-185.78411044399161</v>
      </c>
      <c r="AO2" s="4">
        <v>0.52821757231373612</v>
      </c>
      <c r="AP2" s="4">
        <v>-187.37383081678553</v>
      </c>
      <c r="AQ2" s="4">
        <v>0.25155522125550295</v>
      </c>
      <c r="AR2" s="4">
        <v>-184.88745104527101</v>
      </c>
      <c r="AS2" s="4">
        <v>1.3705722814584618</v>
      </c>
      <c r="AT2" s="4">
        <v>-188.0000719848268</v>
      </c>
      <c r="AU2" s="4">
        <v>4.4589218531052781</v>
      </c>
      <c r="AV2" s="4">
        <v>-191.07480305343898</v>
      </c>
      <c r="AW2" s="4">
        <v>1.8880900269706737</v>
      </c>
      <c r="AX2" s="4">
        <v>-197.61259690389502</v>
      </c>
      <c r="AY2" s="4">
        <v>3.7828085938624314</v>
      </c>
      <c r="AZ2" s="4">
        <v>-203.18369752623363</v>
      </c>
      <c r="BA2" s="4">
        <v>1.0641905414806674</v>
      </c>
      <c r="BB2" s="4">
        <v>-204.6104137297562</v>
      </c>
      <c r="BC2" s="4">
        <v>0.28024421841092689</v>
      </c>
      <c r="BD2" s="4">
        <v>-188.42251124778045</v>
      </c>
      <c r="BE2" s="4">
        <v>4.3808320700418459</v>
      </c>
      <c r="BF2" s="4">
        <v>-191.47146277750875</v>
      </c>
      <c r="BG2" s="4">
        <v>2.4467261457861289</v>
      </c>
      <c r="BH2" s="4">
        <v>-32.706911862573108</v>
      </c>
      <c r="BI2" s="4">
        <v>1.9061170033561643</v>
      </c>
      <c r="BJ2" s="4">
        <v>-42.067204447389344</v>
      </c>
      <c r="BK2" s="4">
        <v>0.74975286150126252</v>
      </c>
      <c r="BL2" s="4">
        <v>-31.26013397320628</v>
      </c>
      <c r="BM2" s="4">
        <v>7.2775118509918219E-2</v>
      </c>
      <c r="BN2" s="4">
        <v>-30.704770209768814</v>
      </c>
      <c r="BO2" s="4">
        <v>1.0750324864433565E-2</v>
      </c>
      <c r="BP2" s="4">
        <v>-31.207487041152262</v>
      </c>
      <c r="BQ2" s="4">
        <v>6.5958406545599285E-2</v>
      </c>
      <c r="BR2" s="4">
        <v>-30.454184180180086</v>
      </c>
      <c r="BS2" s="4">
        <v>6.1312045839706578E-2</v>
      </c>
      <c r="BT2" s="4">
        <v>-31.077016631381291</v>
      </c>
      <c r="BU2" s="4">
        <v>5.214290857714126E-2</v>
      </c>
      <c r="BV2" s="4">
        <v>-30.534491627779985</v>
      </c>
      <c r="BW2" s="4">
        <v>0.49889285729084848</v>
      </c>
      <c r="BX2" s="4">
        <v>-32.019327287663899</v>
      </c>
      <c r="BY2" s="4">
        <f>CC2-BP2</f>
        <v>-2.0080765379524479</v>
      </c>
      <c r="BZ2" s="4">
        <v>2.1706249933099844E-2</v>
      </c>
      <c r="CA2" s="4">
        <v>-31.604565312929157</v>
      </c>
      <c r="CB2" s="4">
        <v>0.29830441071449604</v>
      </c>
      <c r="CC2" s="4">
        <v>-33.21556357910471</v>
      </c>
      <c r="CD2" s="4">
        <v>0.1827213731547509</v>
      </c>
      <c r="CE2" s="4">
        <v>-32.497071466565941</v>
      </c>
      <c r="CF2" s="4">
        <v>0.31197897411883613</v>
      </c>
      <c r="CG2" s="4">
        <v>-34.390846212321101</v>
      </c>
      <c r="CH2" s="4">
        <v>0.23785317017239976</v>
      </c>
    </row>
    <row r="3" spans="1:86" x14ac:dyDescent="0.3">
      <c r="A3" t="str">
        <f t="shared" ref="A3:A28" si="0">_xlfn.CONCAT(B3," (",E3,"-",F3,")")</f>
        <v>224 (24161-25356)</v>
      </c>
      <c r="B3">
        <v>224</v>
      </c>
      <c r="C3">
        <f>((B3-B4)*10)/(D3-D4)</f>
        <v>4.3290043290043288E-2</v>
      </c>
      <c r="D3">
        <v>24706</v>
      </c>
      <c r="E3">
        <v>24161</v>
      </c>
      <c r="F3">
        <v>25356</v>
      </c>
      <c r="G3">
        <v>2.5042237708469921</v>
      </c>
      <c r="H3">
        <v>29.879500148765249</v>
      </c>
      <c r="I3">
        <v>0.68581975057917788</v>
      </c>
      <c r="J3">
        <f t="shared" ref="J3:J28" si="1">AD3/Z3</f>
        <v>1.7616099071207432</v>
      </c>
      <c r="K3">
        <v>1.0498154981549817</v>
      </c>
      <c r="M3">
        <f>(Z3+AB3+AD3)/(N3+P3+R3)</f>
        <v>2.851317540722877</v>
      </c>
      <c r="N3">
        <v>0</v>
      </c>
      <c r="O3">
        <v>3.7584955611940554E-3</v>
      </c>
      <c r="P3">
        <v>6.458259978389785E-3</v>
      </c>
      <c r="Q3">
        <v>1.1857788812781244E-2</v>
      </c>
      <c r="R3">
        <v>4.7695838037124565E-2</v>
      </c>
      <c r="S3">
        <v>5.9077197835106558E-2</v>
      </c>
      <c r="T3">
        <v>0.19569184644463278</v>
      </c>
      <c r="U3">
        <v>0.27026439853136069</v>
      </c>
      <c r="V3">
        <v>0.20383888418171153</v>
      </c>
      <c r="W3">
        <v>9.5483282278563536E-2</v>
      </c>
      <c r="X3">
        <v>5.730083208412088E-2</v>
      </c>
      <c r="Y3">
        <v>3.4652067175041823E-2</v>
      </c>
      <c r="Z3">
        <v>3.4780056521822061E-2</v>
      </c>
      <c r="AA3">
        <v>1.9597431229014289E-2</v>
      </c>
      <c r="AB3">
        <v>5.8361580912778814E-2</v>
      </c>
      <c r="AC3">
        <v>8.1835427110169556E-3</v>
      </c>
      <c r="AD3">
        <v>6.1268892139061157E-2</v>
      </c>
      <c r="AE3">
        <v>4.79167961368756E-3</v>
      </c>
      <c r="AF3">
        <v>2.6542674714022101E-2</v>
      </c>
      <c r="AG3">
        <v>0</v>
      </c>
      <c r="AH3">
        <v>0</v>
      </c>
      <c r="AI3">
        <v>4.264825595168141E-2</v>
      </c>
      <c r="AJ3" s="6"/>
      <c r="AK3" s="6"/>
      <c r="BY3" s="4"/>
    </row>
    <row r="4" spans="1:86" x14ac:dyDescent="0.3">
      <c r="A4" t="str">
        <f t="shared" si="0"/>
        <v>223 (23867-25210)</v>
      </c>
      <c r="B4">
        <v>223</v>
      </c>
      <c r="C4">
        <f t="shared" ref="C4:C28" si="2">((B4-B5)*10)/(D4-D5)</f>
        <v>4.784688995215311E-2</v>
      </c>
      <c r="D4">
        <v>24475</v>
      </c>
      <c r="E4">
        <v>23867</v>
      </c>
      <c r="F4">
        <v>25210</v>
      </c>
      <c r="AJ4" s="6"/>
      <c r="AK4" s="6"/>
      <c r="BY4" s="4"/>
    </row>
    <row r="5" spans="1:86" x14ac:dyDescent="0.3">
      <c r="A5" t="str">
        <f t="shared" si="0"/>
        <v>221 (23408-24712)</v>
      </c>
      <c r="B5">
        <v>221</v>
      </c>
      <c r="C5">
        <f>((B5-B6)*10)/(D5-D6)</f>
        <v>5.016722408026756E-2</v>
      </c>
      <c r="D5">
        <v>24057</v>
      </c>
      <c r="E5">
        <v>23408</v>
      </c>
      <c r="F5">
        <v>24712</v>
      </c>
      <c r="G5">
        <v>4.088226047091239</v>
      </c>
      <c r="H5">
        <v>30.091277890466529</v>
      </c>
      <c r="I5">
        <v>0.74135876042908222</v>
      </c>
      <c r="J5">
        <f t="shared" si="1"/>
        <v>2.1999999999999997</v>
      </c>
      <c r="K5">
        <v>1.260416666666667</v>
      </c>
      <c r="L5">
        <v>0.98781250912233853</v>
      </c>
      <c r="M5">
        <f t="shared" ref="M5:M28" si="3">(Z5+AB5+AD5)/(N5+P5+R5)</f>
        <v>1.5647171620325981</v>
      </c>
      <c r="N5">
        <v>0</v>
      </c>
      <c r="O5">
        <v>3.3738938053097349E-3</v>
      </c>
      <c r="P5">
        <v>6.1946902654867273E-3</v>
      </c>
      <c r="Q5">
        <v>1.9247787610619474E-2</v>
      </c>
      <c r="R5">
        <v>5.1493362831858416E-2</v>
      </c>
      <c r="S5">
        <v>3.584070796460178E-2</v>
      </c>
      <c r="T5">
        <v>0.10807522123893806</v>
      </c>
      <c r="U5">
        <v>0.18357300884955755</v>
      </c>
      <c r="V5">
        <v>0.17477876106194692</v>
      </c>
      <c r="W5">
        <v>8.3130530973451341E-2</v>
      </c>
      <c r="X5">
        <v>3.1637168141592918E-2</v>
      </c>
      <c r="Y5">
        <v>1.4712389380530976E-2</v>
      </c>
      <c r="Z5">
        <v>1.8252212389380535E-2</v>
      </c>
      <c r="AA5">
        <v>8.2964601769911514E-4</v>
      </c>
      <c r="AB5">
        <v>3.1858407079646017E-2</v>
      </c>
      <c r="AC5">
        <v>3.1526548672566371E-3</v>
      </c>
      <c r="AD5">
        <v>4.0154867256637174E-2</v>
      </c>
      <c r="AE5">
        <v>1.9358407079646017E-3</v>
      </c>
      <c r="AF5">
        <v>1.8805309734513276E-2</v>
      </c>
      <c r="AG5">
        <v>0</v>
      </c>
      <c r="AH5">
        <v>0</v>
      </c>
      <c r="AI5">
        <v>0</v>
      </c>
      <c r="AJ5" s="6">
        <v>-142.50580082105688</v>
      </c>
      <c r="AK5" s="6">
        <v>-33.563709417235835</v>
      </c>
      <c r="AL5" s="4">
        <v>-175.28696019000915</v>
      </c>
      <c r="AM5" s="4">
        <v>2.5399190787547368</v>
      </c>
      <c r="AN5" s="5"/>
      <c r="AO5" s="5"/>
      <c r="AP5" s="4">
        <v>-109.72464145210459</v>
      </c>
      <c r="AQ5" s="4">
        <v>1.7003818479405475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4">
        <v>-33.431397267846108</v>
      </c>
      <c r="BI5" s="4">
        <v>0.13921573564217932</v>
      </c>
      <c r="BJ5" s="5"/>
      <c r="BK5" s="5"/>
      <c r="BL5" s="4">
        <v>-31.388693674095929</v>
      </c>
      <c r="BM5" s="4">
        <v>0.12722334383607203</v>
      </c>
      <c r="BN5" s="4">
        <v>-30.058523820439689</v>
      </c>
      <c r="BO5" s="4">
        <v>0.48980772961017871</v>
      </c>
      <c r="BP5" s="4">
        <v>-31.248658257509422</v>
      </c>
      <c r="BQ5" s="4">
        <v>0.14721702993918831</v>
      </c>
      <c r="BR5" s="4">
        <v>-31.539698583065757</v>
      </c>
      <c r="BS5" s="4">
        <v>2.5277920893876767E-2</v>
      </c>
      <c r="BT5" s="4">
        <v>-31.871337630749004</v>
      </c>
      <c r="BU5" s="4">
        <v>0.28703268478999489</v>
      </c>
      <c r="BV5" s="5"/>
      <c r="BW5" s="5"/>
      <c r="BX5" s="4">
        <v>-32.329409465784259</v>
      </c>
      <c r="BY5" s="4">
        <f t="shared" ref="BY5:BY28" si="4">CC5-BP5</f>
        <v>-2.7226346345218495</v>
      </c>
      <c r="BZ5" s="4">
        <v>0.28261567021123085</v>
      </c>
      <c r="CA5" s="5"/>
      <c r="CB5" s="5"/>
      <c r="CC5" s="4">
        <v>-33.971292892031272</v>
      </c>
      <c r="CD5" s="4">
        <v>0.24074524490319613</v>
      </c>
      <c r="CE5" s="5"/>
      <c r="CF5" s="5"/>
      <c r="CG5" s="4">
        <v>-34.390425893891972</v>
      </c>
      <c r="CH5" s="4">
        <v>0.47961021643798563</v>
      </c>
    </row>
    <row r="6" spans="1:86" x14ac:dyDescent="0.3">
      <c r="A6" t="str">
        <f t="shared" si="0"/>
        <v>218 (23007-23838)</v>
      </c>
      <c r="B6">
        <v>218</v>
      </c>
      <c r="C6">
        <f t="shared" si="2"/>
        <v>1.0678056593699947E-2</v>
      </c>
      <c r="D6">
        <v>23459</v>
      </c>
      <c r="E6">
        <v>23007</v>
      </c>
      <c r="F6">
        <v>23838</v>
      </c>
      <c r="AJ6" s="6"/>
      <c r="AK6" s="6"/>
      <c r="BY6" s="4"/>
    </row>
    <row r="7" spans="1:86" x14ac:dyDescent="0.3">
      <c r="A7" t="str">
        <f t="shared" si="0"/>
        <v>216 (21251-21822)</v>
      </c>
      <c r="B7">
        <v>216</v>
      </c>
      <c r="C7">
        <f t="shared" si="2"/>
        <v>6.0024009603841539E-3</v>
      </c>
      <c r="D7">
        <v>21586</v>
      </c>
      <c r="E7">
        <v>21251</v>
      </c>
      <c r="F7">
        <v>21822</v>
      </c>
      <c r="G7">
        <v>2.5940600738987838</v>
      </c>
      <c r="H7">
        <v>29.775343861436582</v>
      </c>
      <c r="I7">
        <v>0.73211963589076734</v>
      </c>
      <c r="J7">
        <f t="shared" si="1"/>
        <v>1.4141876430205949</v>
      </c>
      <c r="K7">
        <v>1</v>
      </c>
      <c r="M7">
        <f t="shared" si="3"/>
        <v>2.307586206896552</v>
      </c>
      <c r="N7">
        <v>1.8691588785046728E-3</v>
      </c>
      <c r="O7">
        <v>1.1682242990654207E-3</v>
      </c>
      <c r="P7">
        <v>3.1542056074766356E-3</v>
      </c>
      <c r="Q7">
        <v>8.8200934579439269E-3</v>
      </c>
      <c r="R7">
        <v>3.7324766355140183E-2</v>
      </c>
      <c r="S7">
        <v>2.2371495327102801E-2</v>
      </c>
      <c r="T7">
        <v>8.5514018691588797E-2</v>
      </c>
      <c r="U7">
        <v>0.17009345794392525</v>
      </c>
      <c r="V7">
        <v>0.16185747663551403</v>
      </c>
      <c r="W7">
        <v>8.3002336448598141E-2</v>
      </c>
      <c r="X7">
        <v>3.5455607476635516E-2</v>
      </c>
      <c r="Y7">
        <v>2.3189252336448599E-2</v>
      </c>
      <c r="Z7">
        <v>2.552570093457944E-2</v>
      </c>
      <c r="AA7">
        <v>1.6939252336448595E-3</v>
      </c>
      <c r="AB7">
        <v>3.6098130841121491E-2</v>
      </c>
      <c r="AC7">
        <v>8.2359813084112131E-3</v>
      </c>
      <c r="AD7">
        <v>3.6098130841121491E-2</v>
      </c>
      <c r="AE7">
        <v>4.9065420560747662E-3</v>
      </c>
      <c r="AF7">
        <v>1.6939252336448597E-2</v>
      </c>
      <c r="AG7">
        <v>0</v>
      </c>
      <c r="AH7">
        <v>0</v>
      </c>
      <c r="AI7">
        <v>0</v>
      </c>
      <c r="AJ7" s="6">
        <v>-157.26610297293544</v>
      </c>
      <c r="AK7" s="6">
        <v>-32.446503282417794</v>
      </c>
      <c r="AL7" s="4">
        <v>-175.43965502289615</v>
      </c>
      <c r="AM7" s="4">
        <v>3.7139674431226517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4">
        <v>-31.569093032030693</v>
      </c>
      <c r="BM7" s="4">
        <v>0.26655254412747398</v>
      </c>
      <c r="BN7" s="4">
        <v>-30.490550369533054</v>
      </c>
      <c r="BO7" s="4">
        <v>0.80203851207971766</v>
      </c>
      <c r="BP7" s="4">
        <v>-31.708986431473846</v>
      </c>
      <c r="BQ7" s="4">
        <v>0.10319794956902924</v>
      </c>
      <c r="BR7" s="4">
        <v>-32.256883484630777</v>
      </c>
      <c r="BS7" s="4">
        <v>1.4640004835936242</v>
      </c>
      <c r="BT7" s="4">
        <v>-31.742947529982452</v>
      </c>
      <c r="BU7" s="4">
        <v>0.46902958243291404</v>
      </c>
      <c r="BV7" s="4">
        <v>-31.091927261837291</v>
      </c>
      <c r="BW7" s="4">
        <v>0.23942957427366063</v>
      </c>
      <c r="BX7" s="4">
        <v>-31.981715048974287</v>
      </c>
      <c r="BY7" s="4">
        <f t="shared" si="4"/>
        <v>-1.2023050843874472</v>
      </c>
      <c r="BZ7" s="4">
        <v>1.1150588335751503</v>
      </c>
      <c r="CA7" s="5"/>
      <c r="CB7" s="5"/>
      <c r="CC7" s="4">
        <v>-32.911291515861294</v>
      </c>
      <c r="CD7" s="4">
        <v>1.4263117163082668</v>
      </c>
      <c r="CE7" s="5"/>
      <c r="CF7" s="5"/>
      <c r="CG7" s="5"/>
      <c r="CH7" s="5"/>
    </row>
    <row r="8" spans="1:86" x14ac:dyDescent="0.3">
      <c r="A8" t="str">
        <f t="shared" si="0"/>
        <v>215 (19392-20311)</v>
      </c>
      <c r="B8">
        <v>215</v>
      </c>
      <c r="C8">
        <f t="shared" si="2"/>
        <v>3.5714285714285712E-2</v>
      </c>
      <c r="D8">
        <v>19920</v>
      </c>
      <c r="E8">
        <v>19392</v>
      </c>
      <c r="F8">
        <v>20311</v>
      </c>
      <c r="G8">
        <v>1.3802268333480938</v>
      </c>
      <c r="H8">
        <v>29.16013659237958</v>
      </c>
      <c r="I8">
        <v>0.3918199262629094</v>
      </c>
      <c r="J8">
        <f t="shared" si="1"/>
        <v>0.51584835301429455</v>
      </c>
      <c r="K8">
        <v>0.61947410724537821</v>
      </c>
      <c r="L8">
        <v>0.96127112986787344</v>
      </c>
      <c r="M8">
        <f>(Z8+AB8+AD8)/(N8+P8+R8)</f>
        <v>86.946902654867273</v>
      </c>
      <c r="N8">
        <v>1.6471838469713071E-3</v>
      </c>
      <c r="O8">
        <v>0</v>
      </c>
      <c r="P8">
        <v>1.6471838469713071E-3</v>
      </c>
      <c r="Q8">
        <v>4.1976620616365574E-3</v>
      </c>
      <c r="R8">
        <v>2.6726886291179596E-2</v>
      </c>
      <c r="S8">
        <v>4.8884165781083958E-3</v>
      </c>
      <c r="T8">
        <v>2.9596174282678005E-2</v>
      </c>
      <c r="U8">
        <v>8.1402763018065885E-2</v>
      </c>
      <c r="V8">
        <v>0.25239107332624866</v>
      </c>
      <c r="W8">
        <v>0.49516471838469717</v>
      </c>
      <c r="X8">
        <v>0.713230605738576</v>
      </c>
      <c r="Y8">
        <v>1.1075451647183847</v>
      </c>
      <c r="Z8">
        <v>1.1114240170031882</v>
      </c>
      <c r="AA8">
        <v>0.11062699256110523</v>
      </c>
      <c r="AB8">
        <v>0.92550478214665266</v>
      </c>
      <c r="AC8">
        <v>0.69107332624867168</v>
      </c>
      <c r="AD8">
        <v>0.57332624867162596</v>
      </c>
      <c r="AE8">
        <v>0.39027630180658879</v>
      </c>
      <c r="AF8">
        <v>0.26370882040382576</v>
      </c>
      <c r="AG8">
        <v>0.12938363443145592</v>
      </c>
      <c r="AH8">
        <v>8.2465462274176407E-2</v>
      </c>
      <c r="AI8">
        <v>3.815090329436769E-2</v>
      </c>
      <c r="AJ8" s="6">
        <v>-180.44135001664057</v>
      </c>
      <c r="AK8" s="6">
        <v>-32.387273195837253</v>
      </c>
      <c r="AL8" s="4"/>
      <c r="AM8" s="4"/>
      <c r="AN8" s="4"/>
      <c r="AO8" s="4"/>
      <c r="AP8" s="4">
        <v>-175.41788986046129</v>
      </c>
      <c r="AQ8" s="4">
        <v>3.4363059220123504</v>
      </c>
      <c r="AR8" s="4">
        <v>-188.87159454362583</v>
      </c>
      <c r="AS8" s="4">
        <v>1.2636624949801791</v>
      </c>
      <c r="AT8" s="4">
        <v>-185.46481017281985</v>
      </c>
      <c r="AU8" s="4">
        <v>1.1876785985292311</v>
      </c>
      <c r="AV8" s="4">
        <v>-183.68475181732981</v>
      </c>
      <c r="AW8" s="4">
        <v>0.49689817711196743</v>
      </c>
      <c r="AX8" s="4">
        <v>-182.2609024770635</v>
      </c>
      <c r="AY8" s="4">
        <v>0.68712906432513277</v>
      </c>
      <c r="AZ8" s="4">
        <v>-180.40875863858028</v>
      </c>
      <c r="BA8" s="4">
        <v>1.3111294489823275</v>
      </c>
      <c r="BB8" s="4">
        <v>-182.54752627732148</v>
      </c>
      <c r="BC8" s="4">
        <v>1.5340896507851038</v>
      </c>
      <c r="BD8" s="4">
        <v>-180.43316059437649</v>
      </c>
      <c r="BE8" s="4">
        <v>1.0691897617593669</v>
      </c>
      <c r="BF8" s="4">
        <v>-183.25228339073601</v>
      </c>
      <c r="BG8" s="4">
        <v>1.9287208302421943</v>
      </c>
      <c r="BH8" s="4">
        <v>-34.731390203759915</v>
      </c>
      <c r="BI8" s="4">
        <v>0.33354011765076003</v>
      </c>
      <c r="BJ8" s="4"/>
      <c r="BK8" s="4"/>
      <c r="BL8" s="4">
        <v>-31.996203709878035</v>
      </c>
      <c r="BM8" s="4">
        <v>0.67461479574590111</v>
      </c>
      <c r="BN8" s="4">
        <v>-30.756848245907115</v>
      </c>
      <c r="BO8" s="4">
        <v>0.76666034099325275</v>
      </c>
      <c r="BP8" s="4">
        <v>-30.621514039592121</v>
      </c>
      <c r="BQ8" s="4">
        <v>0.27070103216213831</v>
      </c>
      <c r="BR8" s="4">
        <v>-30.276126127291064</v>
      </c>
      <c r="BS8" s="4">
        <v>0.14613617715749844</v>
      </c>
      <c r="BT8" s="4">
        <v>-30.363942639824053</v>
      </c>
      <c r="BU8" s="4">
        <v>0.10561752365645263</v>
      </c>
      <c r="BV8" s="4">
        <v>-30.707678206793606</v>
      </c>
      <c r="BW8" s="4">
        <v>0.1847548384826351</v>
      </c>
      <c r="BX8" s="4">
        <v>-31.119884043298946</v>
      </c>
      <c r="BY8" s="4">
        <f t="shared" si="4"/>
        <v>-1.7473945893354426</v>
      </c>
      <c r="BZ8" s="4">
        <v>0.21904091511361604</v>
      </c>
      <c r="CA8" s="4">
        <v>-31.704057791423601</v>
      </c>
      <c r="CB8" s="4">
        <v>3.3040654620717001E-2</v>
      </c>
      <c r="CC8" s="4">
        <v>-32.368908628927564</v>
      </c>
      <c r="CD8" s="4">
        <v>8.5897189671379007E-3</v>
      </c>
      <c r="CE8" s="4">
        <v>-32.780070842612943</v>
      </c>
      <c r="CF8" s="4">
        <v>0.12188948149905635</v>
      </c>
      <c r="CG8" s="4">
        <v>-33.673026915285249</v>
      </c>
      <c r="CH8" s="4">
        <v>0.63281696536788945</v>
      </c>
    </row>
    <row r="9" spans="1:86" x14ac:dyDescent="0.3">
      <c r="A9" t="str">
        <f t="shared" si="0"/>
        <v>212 (18398-19659)</v>
      </c>
      <c r="B9">
        <v>212</v>
      </c>
      <c r="C9">
        <f t="shared" si="2"/>
        <v>8.5106382978723406E-3</v>
      </c>
      <c r="D9">
        <v>19080</v>
      </c>
      <c r="E9">
        <v>18398</v>
      </c>
      <c r="F9">
        <v>19659</v>
      </c>
      <c r="G9">
        <v>3.6651404551679927</v>
      </c>
      <c r="H9">
        <v>29.667530784186653</v>
      </c>
      <c r="I9">
        <v>0.67615176151761525</v>
      </c>
      <c r="J9">
        <f t="shared" si="1"/>
        <v>1.2261103633916555</v>
      </c>
      <c r="K9">
        <v>0.91008991008991003</v>
      </c>
      <c r="L9">
        <v>0.96964288967282419</v>
      </c>
      <c r="M9">
        <f t="shared" si="3"/>
        <v>3.7132867132867129</v>
      </c>
      <c r="N9">
        <v>2.005174644243208E-3</v>
      </c>
      <c r="O9">
        <v>1.7464424320827944E-3</v>
      </c>
      <c r="P9">
        <v>5.2393272962483837E-3</v>
      </c>
      <c r="Q9">
        <v>1.3648124191461835E-2</v>
      </c>
      <c r="R9">
        <v>3.9003880983182408E-2</v>
      </c>
      <c r="S9">
        <v>3.0012936610608016E-2</v>
      </c>
      <c r="T9">
        <v>0.10265200517464423</v>
      </c>
      <c r="U9">
        <v>0.17639068564036223</v>
      </c>
      <c r="V9">
        <v>0.19379042690815007</v>
      </c>
      <c r="W9">
        <v>9.5084087968952125E-2</v>
      </c>
      <c r="X9">
        <v>6.4424320827943082E-2</v>
      </c>
      <c r="Y9">
        <v>3.4023285899094438E-2</v>
      </c>
      <c r="Z9">
        <v>4.8059508408796893E-2</v>
      </c>
      <c r="AA9">
        <v>2.1992238033635187E-3</v>
      </c>
      <c r="AB9">
        <v>6.4747736093143604E-2</v>
      </c>
      <c r="AC9">
        <v>8.2794307891332474E-3</v>
      </c>
      <c r="AD9">
        <v>5.8926261319534282E-2</v>
      </c>
      <c r="AE9">
        <v>3.6222509702457961E-3</v>
      </c>
      <c r="AF9">
        <v>2.7878395860284604E-2</v>
      </c>
      <c r="AG9">
        <v>0</v>
      </c>
      <c r="AH9">
        <v>0</v>
      </c>
      <c r="AI9">
        <v>0</v>
      </c>
      <c r="AJ9" s="6">
        <v>-90.505095376680572</v>
      </c>
      <c r="AK9" s="6">
        <v>-33.360362195521837</v>
      </c>
      <c r="AL9" s="4">
        <v>-128.56185760305328</v>
      </c>
      <c r="AM9" s="4">
        <v>4.6218749905685454</v>
      </c>
      <c r="AN9" s="5"/>
      <c r="AO9" s="5"/>
      <c r="AP9" s="5"/>
      <c r="AQ9" s="5"/>
      <c r="AR9" s="5"/>
      <c r="AS9" s="5"/>
      <c r="AT9" s="4">
        <v>-94.204275074853598</v>
      </c>
      <c r="AU9" s="4">
        <v>0.15612200144507468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4">
        <v>-31.444492809572061</v>
      </c>
      <c r="BM9" s="4">
        <v>0.23101839683979516</v>
      </c>
      <c r="BN9" s="4">
        <v>-30.75435888399533</v>
      </c>
      <c r="BO9" s="4">
        <v>0.18929375415517818</v>
      </c>
      <c r="BP9" s="4">
        <v>-32.061995314824564</v>
      </c>
      <c r="BQ9" s="4">
        <v>0.23772342430727442</v>
      </c>
      <c r="BR9" s="4">
        <v>-31.683433480710477</v>
      </c>
      <c r="BS9" s="4">
        <v>0.18517320238846652</v>
      </c>
      <c r="BT9" s="4">
        <v>-31.901820753991231</v>
      </c>
      <c r="BU9" s="4">
        <v>0.37547573443507293</v>
      </c>
      <c r="BV9" s="4">
        <v>-31.679424559470498</v>
      </c>
      <c r="BW9" s="4">
        <v>1.7429159109805418E-2</v>
      </c>
      <c r="BX9" s="4">
        <v>-32.037925106361087</v>
      </c>
      <c r="BY9" s="4">
        <f t="shared" si="4"/>
        <v>-1.4352279971127118</v>
      </c>
      <c r="BZ9" s="4">
        <v>0.11277640447691963</v>
      </c>
      <c r="CA9" s="4">
        <v>-31.470316178436882</v>
      </c>
      <c r="CB9" s="4">
        <v>8.9533927329114235E-2</v>
      </c>
      <c r="CC9" s="4">
        <v>-33.497223311937276</v>
      </c>
      <c r="CD9" s="4">
        <v>0.2813303084656959</v>
      </c>
      <c r="CE9" s="5"/>
      <c r="CF9" s="5"/>
      <c r="CG9" s="4">
        <v>-34.545938168267156</v>
      </c>
      <c r="CH9" s="4">
        <v>0.14855113229305136</v>
      </c>
    </row>
    <row r="10" spans="1:86" x14ac:dyDescent="0.3">
      <c r="A10" t="str">
        <f t="shared" si="0"/>
        <v>210 (16127-17138)</v>
      </c>
      <c r="B10">
        <v>210</v>
      </c>
      <c r="C10">
        <f t="shared" si="2"/>
        <v>8.4364454443194604E-3</v>
      </c>
      <c r="D10">
        <v>16730</v>
      </c>
      <c r="E10">
        <v>16127</v>
      </c>
      <c r="F10">
        <v>17138</v>
      </c>
      <c r="G10">
        <v>2.5105188235303073</v>
      </c>
      <c r="H10">
        <v>29.807387862796833</v>
      </c>
      <c r="I10">
        <v>0.72200513564809654</v>
      </c>
      <c r="J10">
        <f t="shared" si="1"/>
        <v>1.3199598796389165</v>
      </c>
      <c r="K10">
        <v>1.120954003407155</v>
      </c>
      <c r="L10">
        <v>0.9863737058127191</v>
      </c>
      <c r="M10">
        <f t="shared" si="3"/>
        <v>2.9676595744680858</v>
      </c>
      <c r="N10">
        <v>0</v>
      </c>
      <c r="O10">
        <v>9.0012330456226888E-3</v>
      </c>
      <c r="P10">
        <v>1.4180024660912454E-2</v>
      </c>
      <c r="Q10">
        <v>2.3674475955610359E-2</v>
      </c>
      <c r="R10">
        <v>5.8261405672009867E-2</v>
      </c>
      <c r="S10">
        <v>3.3292231812577067E-2</v>
      </c>
      <c r="T10">
        <v>0.13039457459926015</v>
      </c>
      <c r="U10">
        <v>0.24346485819975341</v>
      </c>
      <c r="V10">
        <v>0.30881627620221952</v>
      </c>
      <c r="W10">
        <v>0.17546239210850803</v>
      </c>
      <c r="X10">
        <v>8.9889025893958099E-2</v>
      </c>
      <c r="Y10">
        <v>5.3020961775585698E-2</v>
      </c>
      <c r="Z10">
        <v>6.1467324290998777E-2</v>
      </c>
      <c r="AA10">
        <v>2.4414303329223185E-2</v>
      </c>
      <c r="AB10">
        <v>7.2379778051787927E-2</v>
      </c>
      <c r="AC10">
        <v>9.0012330456226888E-3</v>
      </c>
      <c r="AD10">
        <v>8.1134401972872999E-2</v>
      </c>
      <c r="AE10">
        <v>6.5967940813810126E-3</v>
      </c>
      <c r="AF10">
        <v>4.2046855733662153E-2</v>
      </c>
      <c r="AG10">
        <v>0</v>
      </c>
      <c r="AH10">
        <v>0</v>
      </c>
      <c r="AI10">
        <v>0</v>
      </c>
      <c r="AJ10" s="6">
        <v>-128.11451651390979</v>
      </c>
      <c r="AK10" s="6">
        <v>-33.491628235650097</v>
      </c>
      <c r="AL10" s="4">
        <v>-151.17020475281674</v>
      </c>
      <c r="AM10" s="4">
        <v>2.2040355077940905</v>
      </c>
      <c r="AN10" s="5"/>
      <c r="AO10" s="5"/>
      <c r="AP10" s="4">
        <v>-120.32663533281143</v>
      </c>
      <c r="AQ10" s="4">
        <v>4.5433555951154787</v>
      </c>
      <c r="AR10" s="4">
        <v>-112.90735076178456</v>
      </c>
      <c r="AS10" s="4">
        <v>0.99014564302066355</v>
      </c>
      <c r="AT10" s="4">
        <v>-112.84670945610121</v>
      </c>
      <c r="AU10" s="4">
        <v>3.0244418210429203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4">
        <v>-34.637969036890681</v>
      </c>
      <c r="BI10" s="4">
        <v>0.54530229107415529</v>
      </c>
      <c r="BJ10" s="4">
        <v>-31.875735551165747</v>
      </c>
      <c r="BK10" s="4">
        <v>1.2847148509305377</v>
      </c>
      <c r="BL10" s="4">
        <v>-31.269435097057737</v>
      </c>
      <c r="BM10" s="4">
        <v>4.5345046354611966E-3</v>
      </c>
      <c r="BN10" s="4">
        <v>-30.95525372669427</v>
      </c>
      <c r="BO10" s="4">
        <v>4.2708706206673233E-2</v>
      </c>
      <c r="BP10" s="4">
        <v>-31.369312072870613</v>
      </c>
      <c r="BQ10" s="4">
        <v>0.16566230247696367</v>
      </c>
      <c r="BR10" s="4">
        <v>-31.127019353563689</v>
      </c>
      <c r="BS10" s="4">
        <v>0.1904974708891716</v>
      </c>
      <c r="BT10" s="4">
        <v>-31.005477054243819</v>
      </c>
      <c r="BU10" s="4">
        <v>3.0535301203641008E-2</v>
      </c>
      <c r="BV10" s="4">
        <v>-32.570820501681652</v>
      </c>
      <c r="BW10" s="4">
        <v>0.48558768321278262</v>
      </c>
      <c r="BX10" s="4">
        <v>-32.967670215835255</v>
      </c>
      <c r="BY10" s="4">
        <f t="shared" si="4"/>
        <v>-2.1527493256672869</v>
      </c>
      <c r="BZ10" s="4">
        <v>0.606175863957509</v>
      </c>
      <c r="CA10" s="4">
        <v>-32.693343691738669</v>
      </c>
      <c r="CB10" s="4">
        <v>0.40167269653657717</v>
      </c>
      <c r="CC10" s="4">
        <v>-33.5220613985379</v>
      </c>
      <c r="CD10" s="4">
        <v>5.2199406402822945E-2</v>
      </c>
      <c r="CE10" s="5"/>
      <c r="CF10" s="5"/>
      <c r="CG10" s="4">
        <v>-33.985153092577136</v>
      </c>
      <c r="CH10" s="4">
        <v>0.23760363740244098</v>
      </c>
    </row>
    <row r="11" spans="1:86" x14ac:dyDescent="0.3">
      <c r="A11" t="str">
        <f t="shared" si="0"/>
        <v>207 (12499-13708)</v>
      </c>
      <c r="B11">
        <v>207</v>
      </c>
      <c r="C11">
        <f t="shared" si="2"/>
        <v>5.1948051948051951E-2</v>
      </c>
      <c r="D11">
        <v>13174</v>
      </c>
      <c r="E11">
        <v>12499</v>
      </c>
      <c r="F11">
        <v>13708</v>
      </c>
      <c r="G11">
        <v>5.1512020402455754</v>
      </c>
      <c r="H11">
        <v>30.072282118009458</v>
      </c>
      <c r="I11">
        <v>0.42842520836379588</v>
      </c>
      <c r="J11">
        <f t="shared" si="1"/>
        <v>1.784313725490196</v>
      </c>
      <c r="K11">
        <v>1.152533039647577</v>
      </c>
      <c r="L11">
        <v>0.9792810771602759</v>
      </c>
      <c r="M11">
        <f t="shared" si="3"/>
        <v>7.7234042553191475</v>
      </c>
      <c r="N11">
        <v>2.8571428571428576E-3</v>
      </c>
      <c r="O11">
        <v>1.1285714285714288E-2</v>
      </c>
      <c r="P11">
        <v>2.7642857142857143E-2</v>
      </c>
      <c r="Q11">
        <v>2.9142857142857144E-2</v>
      </c>
      <c r="R11">
        <v>0.11050000000000001</v>
      </c>
      <c r="S11">
        <v>4.0857142857142856E-2</v>
      </c>
      <c r="T11">
        <v>0.21121428571428574</v>
      </c>
      <c r="U11">
        <v>0.26614285714285713</v>
      </c>
      <c r="V11">
        <v>0.44350000000000006</v>
      </c>
      <c r="W11">
        <v>0.21228571428571427</v>
      </c>
      <c r="X11">
        <v>0.18435714285714286</v>
      </c>
      <c r="Y11">
        <v>0.11114285714285714</v>
      </c>
      <c r="Z11">
        <v>0.25135714285714289</v>
      </c>
      <c r="AA11">
        <v>8.6428571428571431E-3</v>
      </c>
      <c r="AB11">
        <v>0.38914285714285718</v>
      </c>
      <c r="AC11">
        <v>5.507142857142857E-2</v>
      </c>
      <c r="AD11">
        <v>0.44850000000000001</v>
      </c>
      <c r="AE11">
        <v>3.785714285714286E-2</v>
      </c>
      <c r="AF11">
        <v>0.24385714285714286</v>
      </c>
      <c r="AG11">
        <v>1.2642857142857145E-2</v>
      </c>
      <c r="AH11">
        <v>1.2071428571428571E-2</v>
      </c>
      <c r="AI11">
        <v>0.05</v>
      </c>
      <c r="AJ11" s="6">
        <v>-199.44089261090221</v>
      </c>
      <c r="AK11" s="6">
        <v>-33.614769709215842</v>
      </c>
      <c r="AL11" s="4">
        <v>-210.43442541470881</v>
      </c>
      <c r="AM11" s="4">
        <v>0.41746516267234146</v>
      </c>
      <c r="AN11" s="4">
        <v>-194.1709256046297</v>
      </c>
      <c r="AO11" s="4">
        <v>3.1089032973293196</v>
      </c>
      <c r="AP11" s="4">
        <v>-189.36554594123666</v>
      </c>
      <c r="AQ11" s="4">
        <v>0.60445949039641955</v>
      </c>
      <c r="AR11" s="4">
        <v>-182.56009998132618</v>
      </c>
      <c r="AS11" s="4">
        <v>3.2479578319160316</v>
      </c>
      <c r="AT11" s="4">
        <v>-198.52270647676116</v>
      </c>
      <c r="AU11" s="4">
        <v>3.806101795483503</v>
      </c>
      <c r="AV11" s="4">
        <v>-202.8334789617563</v>
      </c>
      <c r="AW11" s="4">
        <v>4.8331789326627828</v>
      </c>
      <c r="AX11" s="4">
        <v>-204.69632747674231</v>
      </c>
      <c r="AY11" s="4">
        <v>2.1727907343631609</v>
      </c>
      <c r="AZ11" s="4">
        <v>-201.68269293300449</v>
      </c>
      <c r="BA11" s="4">
        <v>1.5734581536389178</v>
      </c>
      <c r="BB11" s="4">
        <v>-210.54101756465496</v>
      </c>
      <c r="BC11" s="4">
        <v>1.6323264973379641</v>
      </c>
      <c r="BD11" s="5"/>
      <c r="BE11" s="5"/>
      <c r="BF11" s="4">
        <v>-205.98790014132726</v>
      </c>
      <c r="BG11" s="4">
        <v>3.4288399070214299</v>
      </c>
      <c r="BH11" s="4">
        <v>-32.566321601907816</v>
      </c>
      <c r="BI11" s="4">
        <v>4.9704261335761835E-2</v>
      </c>
      <c r="BJ11" s="4">
        <v>-34.886057478613004</v>
      </c>
      <c r="BK11" s="4">
        <v>0.44662946679795357</v>
      </c>
      <c r="BL11" s="4">
        <v>-31.482436317158871</v>
      </c>
      <c r="BM11" s="4">
        <v>0.65755090779189618</v>
      </c>
      <c r="BN11" s="4">
        <v>-30.941322109564897</v>
      </c>
      <c r="BO11" s="4">
        <v>0.18757713567793852</v>
      </c>
      <c r="BP11" s="4">
        <v>-32.095987187135222</v>
      </c>
      <c r="BQ11" s="4">
        <v>0.23608921793940546</v>
      </c>
      <c r="BR11" s="4">
        <v>-31.086099763072745</v>
      </c>
      <c r="BS11" s="4">
        <v>6.3707665427301038E-2</v>
      </c>
      <c r="BT11" s="4">
        <v>-31.97926257805311</v>
      </c>
      <c r="BU11" s="4">
        <v>4.1894457274961959E-2</v>
      </c>
      <c r="BV11" s="4">
        <v>-32.099827288888449</v>
      </c>
      <c r="BW11" s="4">
        <v>6.254244381144046E-2</v>
      </c>
      <c r="BX11" s="4">
        <v>-32.970252162108522</v>
      </c>
      <c r="BY11" s="4">
        <f t="shared" si="4"/>
        <v>-1.4857917645505907</v>
      </c>
      <c r="BZ11" s="4">
        <v>2.0575086418847034E-3</v>
      </c>
      <c r="CA11" s="4">
        <v>-33.258876367804589</v>
      </c>
      <c r="CB11" s="4">
        <v>0.10769521503335305</v>
      </c>
      <c r="CC11" s="4">
        <v>-33.581778951685813</v>
      </c>
      <c r="CD11" s="4">
        <v>8.5535569427870661E-2</v>
      </c>
      <c r="CE11" s="5"/>
      <c r="CF11" s="5"/>
      <c r="CG11" s="4">
        <v>-34.292278013853206</v>
      </c>
      <c r="CH11" s="4">
        <v>2.6264127439352802E-2</v>
      </c>
    </row>
    <row r="12" spans="1:86" x14ac:dyDescent="0.3">
      <c r="A12" t="str">
        <f t="shared" si="0"/>
        <v>205 (12246-13221)</v>
      </c>
      <c r="B12">
        <v>205</v>
      </c>
      <c r="C12">
        <f t="shared" si="2"/>
        <v>4.9627791563275438E-2</v>
      </c>
      <c r="D12">
        <v>12789</v>
      </c>
      <c r="E12">
        <v>12246</v>
      </c>
      <c r="F12">
        <v>13221</v>
      </c>
      <c r="G12">
        <v>6.6021521827825378</v>
      </c>
      <c r="H12">
        <v>29.545454545454543</v>
      </c>
      <c r="I12">
        <v>0.40305692622457573</v>
      </c>
      <c r="J12">
        <f t="shared" si="1"/>
        <v>1.0201310861423221</v>
      </c>
      <c r="K12">
        <v>0.78353110391945335</v>
      </c>
      <c r="L12">
        <v>0.97421658316935777</v>
      </c>
      <c r="M12">
        <f t="shared" si="3"/>
        <v>4.6993377483443712</v>
      </c>
      <c r="N12">
        <v>3.1767955801104975E-3</v>
      </c>
      <c r="O12">
        <v>1.5055248618784533E-2</v>
      </c>
      <c r="P12">
        <v>2.5552486187845308E-2</v>
      </c>
      <c r="Q12">
        <v>2.1685082872928179E-2</v>
      </c>
      <c r="R12">
        <v>7.5552486187845311E-2</v>
      </c>
      <c r="S12">
        <v>3.2320441988950274E-2</v>
      </c>
      <c r="T12">
        <v>0.12320441988950276</v>
      </c>
      <c r="U12">
        <v>0.15573204419889505</v>
      </c>
      <c r="V12">
        <v>0.16712707182320441</v>
      </c>
      <c r="W12">
        <v>7.0441988950276244E-2</v>
      </c>
      <c r="X12">
        <v>6.4157458563535899E-2</v>
      </c>
      <c r="Y12">
        <v>3.8397790055248612E-2</v>
      </c>
      <c r="Z12">
        <v>0.14751381215469614</v>
      </c>
      <c r="AA12">
        <v>4.005524861878453E-3</v>
      </c>
      <c r="AB12">
        <v>0.19205801104972375</v>
      </c>
      <c r="AC12">
        <v>1.5400552486187845E-2</v>
      </c>
      <c r="AD12">
        <v>0.15048342541436463</v>
      </c>
      <c r="AE12">
        <v>1.084254143646409E-2</v>
      </c>
      <c r="AF12">
        <v>6.8024861878453038E-2</v>
      </c>
      <c r="AG12">
        <v>2.6243093922651939E-3</v>
      </c>
      <c r="AH12">
        <v>4.8342541436464078E-3</v>
      </c>
      <c r="AI12">
        <v>0</v>
      </c>
      <c r="AJ12" s="6">
        <v>-132.78835437186504</v>
      </c>
      <c r="AK12" s="6">
        <v>-32.839184144773135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4">
        <v>-35.048638839016881</v>
      </c>
      <c r="BI12" s="4">
        <v>0.28197392798705151</v>
      </c>
      <c r="BJ12" s="4">
        <v>-36.052015208833296</v>
      </c>
      <c r="BK12" s="4">
        <v>0.88208842297026702</v>
      </c>
      <c r="BL12" s="4">
        <v>-31.962176990957282</v>
      </c>
      <c r="BM12" s="4">
        <v>0.62474790231518607</v>
      </c>
      <c r="BN12" s="4">
        <v>-30.887286827799116</v>
      </c>
      <c r="BO12" s="4">
        <v>3.5622362614100449E-2</v>
      </c>
      <c r="BP12" s="4">
        <v>-32.201468148512589</v>
      </c>
      <c r="BQ12" s="4">
        <v>2.0312399285406253E-2</v>
      </c>
      <c r="BR12" s="4">
        <v>-31.579022710590053</v>
      </c>
      <c r="BS12" s="4">
        <v>3.5865299459122211E-3</v>
      </c>
      <c r="BT12" s="4">
        <v>-31.780696535368087</v>
      </c>
      <c r="BU12" s="4">
        <v>0.15217505938663933</v>
      </c>
      <c r="BV12" s="4">
        <v>-31.656094434881332</v>
      </c>
      <c r="BW12" s="4">
        <v>0.78799299456175098</v>
      </c>
      <c r="BX12" s="4">
        <v>-31.911838331020526</v>
      </c>
      <c r="BY12" s="4">
        <f t="shared" si="4"/>
        <v>-0.66645108915318474</v>
      </c>
      <c r="BZ12" s="4">
        <v>0.17751659781854612</v>
      </c>
      <c r="CA12" s="4">
        <v>-33.571682283520857</v>
      </c>
      <c r="CB12" s="4">
        <v>0.18319801606229949</v>
      </c>
      <c r="CC12" s="4">
        <v>-32.867919237665774</v>
      </c>
      <c r="CD12" s="4">
        <v>3.7631339771406785E-2</v>
      </c>
      <c r="CE12" s="4">
        <v>-35.936086175042497</v>
      </c>
      <c r="CF12" s="4">
        <v>0.48925922752078199</v>
      </c>
      <c r="CG12" s="4">
        <v>-33.737794865633091</v>
      </c>
      <c r="CH12" s="4">
        <v>0.27472632684755216</v>
      </c>
    </row>
    <row r="13" spans="1:86" x14ac:dyDescent="0.3">
      <c r="A13" t="str">
        <f t="shared" si="0"/>
        <v>203 (11764-13044)</v>
      </c>
      <c r="B13">
        <v>203</v>
      </c>
      <c r="C13">
        <f t="shared" si="2"/>
        <v>6.2761506276150625E-2</v>
      </c>
      <c r="D13">
        <v>12386</v>
      </c>
      <c r="E13">
        <v>11764</v>
      </c>
      <c r="F13">
        <v>13044</v>
      </c>
      <c r="G13">
        <v>7.5083114345904303</v>
      </c>
      <c r="H13">
        <v>30.05408102175214</v>
      </c>
      <c r="I13">
        <v>0.41875115805076896</v>
      </c>
      <c r="J13">
        <f t="shared" si="1"/>
        <v>1.7728237791932058</v>
      </c>
      <c r="K13">
        <v>1.1383776414451261</v>
      </c>
      <c r="L13">
        <v>0.94879598196117987</v>
      </c>
      <c r="M13">
        <f t="shared" si="3"/>
        <v>3.0103321033210335</v>
      </c>
      <c r="N13">
        <v>3.3288948069241015E-3</v>
      </c>
      <c r="O13">
        <v>1.3182423435419442E-2</v>
      </c>
      <c r="P13">
        <v>1.7909454061251665E-2</v>
      </c>
      <c r="Q13">
        <v>2.4766977363515318E-2</v>
      </c>
      <c r="R13">
        <v>6.8974700399467376E-2</v>
      </c>
      <c r="S13">
        <v>2.8229027962716383E-2</v>
      </c>
      <c r="T13">
        <v>9.766977363515314E-2</v>
      </c>
      <c r="U13">
        <v>9.234354194407457E-2</v>
      </c>
      <c r="V13">
        <v>0.11284953395472704</v>
      </c>
      <c r="W13">
        <v>3.5552596537949406E-2</v>
      </c>
      <c r="X13">
        <v>3.7616511318242347E-2</v>
      </c>
      <c r="Y13">
        <v>1.6977363515312916E-2</v>
      </c>
      <c r="Z13">
        <v>6.271637816245007E-2</v>
      </c>
      <c r="AA13">
        <v>1.9307589880159786E-3</v>
      </c>
      <c r="AB13">
        <v>9.766977363515314E-2</v>
      </c>
      <c r="AC13">
        <v>8.1890812250332897E-3</v>
      </c>
      <c r="AD13">
        <v>0.11118508655126498</v>
      </c>
      <c r="AE13">
        <v>7.1904127829560596E-3</v>
      </c>
      <c r="AF13">
        <v>5.8788282290279631E-2</v>
      </c>
      <c r="AG13">
        <v>3.4620505992010654E-3</v>
      </c>
      <c r="AH13">
        <v>3.2623169107856196E-3</v>
      </c>
      <c r="AI13">
        <v>0</v>
      </c>
      <c r="AJ13" s="6">
        <v>-173.07733387586305</v>
      </c>
      <c r="AK13" s="6">
        <v>-33.312119828305264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4">
        <v>-36.240149125703795</v>
      </c>
      <c r="BI13" s="4">
        <v>0.51801437303189313</v>
      </c>
      <c r="BJ13" s="5"/>
      <c r="BK13" s="5"/>
      <c r="BL13" s="4">
        <v>-31.268062630522635</v>
      </c>
      <c r="BM13" s="4">
        <v>0.30419642317932033</v>
      </c>
      <c r="BN13" s="4">
        <v>-30.501275250384378</v>
      </c>
      <c r="BO13" s="4">
        <v>0.5623329604317201</v>
      </c>
      <c r="BP13" s="4">
        <v>-31.980162387418837</v>
      </c>
      <c r="BQ13" s="4">
        <v>9.2997895677261553E-3</v>
      </c>
      <c r="BR13" s="4">
        <v>-31.640692365761822</v>
      </c>
      <c r="BS13" s="4">
        <v>0.40135152379988359</v>
      </c>
      <c r="BT13" s="4">
        <v>-30.580088175230856</v>
      </c>
      <c r="BU13" s="4">
        <v>0.78052146470828121</v>
      </c>
      <c r="BV13" s="4">
        <v>-36.101448444685268</v>
      </c>
      <c r="BW13" s="4">
        <v>3.268419292803746E-2</v>
      </c>
      <c r="BX13" s="4">
        <v>-32.028198237130539</v>
      </c>
      <c r="BY13" s="4">
        <f t="shared" si="4"/>
        <v>-1.0817851589990894</v>
      </c>
      <c r="BZ13" s="4">
        <v>0.41450784554964798</v>
      </c>
      <c r="CA13" s="4">
        <v>-31.295381346409762</v>
      </c>
      <c r="CB13" s="4">
        <v>9.8882140409152344E-2</v>
      </c>
      <c r="CC13" s="4">
        <v>-33.061947546417926</v>
      </c>
      <c r="CD13" s="4">
        <v>0.28563398964201425</v>
      </c>
      <c r="CE13" s="5"/>
      <c r="CF13" s="5"/>
      <c r="CG13" s="4">
        <v>-34.846213701367319</v>
      </c>
      <c r="CH13" s="4">
        <v>4.6433535298682771E-2</v>
      </c>
    </row>
    <row r="14" spans="1:86" x14ac:dyDescent="0.3">
      <c r="A14" t="str">
        <f t="shared" si="0"/>
        <v>200 (11365-12483)</v>
      </c>
      <c r="B14">
        <v>200</v>
      </c>
      <c r="C14">
        <f t="shared" si="2"/>
        <v>6.7567567567567571E-2</v>
      </c>
      <c r="D14">
        <v>11908</v>
      </c>
      <c r="E14">
        <v>11365</v>
      </c>
      <c r="F14">
        <v>12483</v>
      </c>
      <c r="G14">
        <v>4.1243339998270594</v>
      </c>
      <c r="H14">
        <v>28.784052670080467</v>
      </c>
      <c r="I14">
        <v>0.44370617234112641</v>
      </c>
      <c r="J14">
        <f t="shared" si="1"/>
        <v>0.44198059720297345</v>
      </c>
      <c r="K14">
        <v>0.43778859353550498</v>
      </c>
      <c r="M14">
        <f t="shared" si="3"/>
        <v>13.965948020021777</v>
      </c>
      <c r="N14">
        <v>0</v>
      </c>
      <c r="O14">
        <v>1.1023703742130559E-2</v>
      </c>
      <c r="P14">
        <v>1.4770322007429833E-2</v>
      </c>
      <c r="Q14">
        <v>2.2551759943051402E-2</v>
      </c>
      <c r="R14">
        <v>8.7325025721975397E-2</v>
      </c>
      <c r="S14">
        <v>0.12407070486241059</v>
      </c>
      <c r="T14">
        <v>0.40303682183436468</v>
      </c>
      <c r="U14">
        <v>0.49196809415034781</v>
      </c>
      <c r="V14">
        <v>0.40525455929860366</v>
      </c>
      <c r="W14">
        <v>0.20920656745987745</v>
      </c>
      <c r="X14">
        <v>0.2681244594264931</v>
      </c>
      <c r="Y14">
        <v>0.12751990419374157</v>
      </c>
      <c r="Z14">
        <v>0.58161360271726059</v>
      </c>
      <c r="AA14">
        <v>0.10405585433520348</v>
      </c>
      <c r="AB14">
        <v>0.5871827892873136</v>
      </c>
      <c r="AC14">
        <v>6.5950893592734594E-2</v>
      </c>
      <c r="AD14">
        <v>0.25706192747034778</v>
      </c>
      <c r="AE14">
        <v>4.059643894486107E-2</v>
      </c>
      <c r="AF14">
        <v>6.7856141629858036E-2</v>
      </c>
      <c r="AG14">
        <v>1.2164275929326606E-2</v>
      </c>
      <c r="AH14">
        <v>8.8667312496898739E-3</v>
      </c>
      <c r="AI14">
        <v>6.5584499739441623E-2</v>
      </c>
      <c r="AJ14" s="6"/>
      <c r="AK14" s="6"/>
      <c r="BY14" s="4"/>
    </row>
    <row r="15" spans="1:86" x14ac:dyDescent="0.3">
      <c r="A15" t="str">
        <f t="shared" si="0"/>
        <v>199 (11316-12265)</v>
      </c>
      <c r="B15">
        <v>199</v>
      </c>
      <c r="C15">
        <f t="shared" si="2"/>
        <v>6.2893081761006289E-2</v>
      </c>
      <c r="D15">
        <v>11760</v>
      </c>
      <c r="E15">
        <v>11316</v>
      </c>
      <c r="F15">
        <v>12265</v>
      </c>
      <c r="G15">
        <v>9.1231937466613466</v>
      </c>
      <c r="H15">
        <v>29.207180840100577</v>
      </c>
      <c r="I15">
        <v>0.36069617651089481</v>
      </c>
      <c r="J15">
        <f t="shared" si="1"/>
        <v>0.67558571245679189</v>
      </c>
      <c r="K15">
        <v>0.60529938059187893</v>
      </c>
      <c r="L15">
        <v>0.95634686252518042</v>
      </c>
      <c r="M15">
        <f t="shared" si="3"/>
        <v>10.48869648869649</v>
      </c>
      <c r="N15">
        <v>2.5984251968503942E-3</v>
      </c>
      <c r="O15">
        <v>2.2440944881889767E-2</v>
      </c>
      <c r="P15">
        <v>2.7795275590551182E-2</v>
      </c>
      <c r="Q15">
        <v>3.7874015748031495E-2</v>
      </c>
      <c r="R15">
        <v>0.13330708661417323</v>
      </c>
      <c r="S15">
        <v>6.1968503937007882E-2</v>
      </c>
      <c r="T15">
        <v>0.28031496062992134</v>
      </c>
      <c r="U15">
        <v>0.25291338582677164</v>
      </c>
      <c r="V15">
        <v>0.40543307086614183</v>
      </c>
      <c r="W15">
        <v>0.13700787401574804</v>
      </c>
      <c r="X15">
        <v>0.21629921259842519</v>
      </c>
      <c r="Y15">
        <v>9.700787401574805E-2</v>
      </c>
      <c r="Z15">
        <v>0.61503937007874021</v>
      </c>
      <c r="AA15">
        <v>1.1417322834645669E-2</v>
      </c>
      <c r="AB15">
        <v>0.68645669291338596</v>
      </c>
      <c r="AC15">
        <v>4.5669291338582677E-2</v>
      </c>
      <c r="AD15">
        <v>0.41551181102362217</v>
      </c>
      <c r="AE15">
        <v>2.3622047244094491E-2</v>
      </c>
      <c r="AF15">
        <v>0.18204724409448822</v>
      </c>
      <c r="AG15">
        <v>5.8267716535433068E-3</v>
      </c>
      <c r="AH15">
        <v>1.1102362204724409E-2</v>
      </c>
      <c r="AI15">
        <v>8.2677165354330725E-3</v>
      </c>
      <c r="AJ15" s="6">
        <v>-202.6091626707977</v>
      </c>
      <c r="AK15" s="6">
        <v>-33.143320179677694</v>
      </c>
      <c r="AL15" s="4">
        <v>-209.14595835381863</v>
      </c>
      <c r="AM15" s="4">
        <v>3.7884649869195939</v>
      </c>
      <c r="AN15" s="4">
        <v>-175.56300801420406</v>
      </c>
      <c r="AO15" s="4">
        <v>1.5756538298385487</v>
      </c>
      <c r="AP15" s="4">
        <v>-194.69467873006636</v>
      </c>
      <c r="AQ15" s="4">
        <v>4.8990668605444085</v>
      </c>
      <c r="AR15" s="4">
        <v>-191.59877402249026</v>
      </c>
      <c r="AS15" s="4">
        <v>3.0675448523565656</v>
      </c>
      <c r="AT15" s="4">
        <v>-203.98685092850818</v>
      </c>
      <c r="AU15" s="4">
        <v>0.14373427189148866</v>
      </c>
      <c r="AV15" s="4">
        <v>-209.81221477335961</v>
      </c>
      <c r="AW15" s="4">
        <v>1.6947871037668214</v>
      </c>
      <c r="AX15" s="4">
        <v>-209.26160382028309</v>
      </c>
      <c r="AY15" s="4">
        <v>3.4256933905294176</v>
      </c>
      <c r="AZ15" s="4">
        <v>-207.1166429786486</v>
      </c>
      <c r="BA15" s="4">
        <v>3.0674852211651946</v>
      </c>
      <c r="BB15" s="4">
        <v>-204.85493582552016</v>
      </c>
      <c r="BC15" s="4">
        <v>8.5776921482564605E-2</v>
      </c>
      <c r="BD15" s="4">
        <v>-189.46402778809829</v>
      </c>
      <c r="BE15" s="4">
        <v>0.90503237183933438</v>
      </c>
      <c r="BF15" s="5"/>
      <c r="BG15" s="5"/>
      <c r="BH15" s="4">
        <v>-33.295030512240196</v>
      </c>
      <c r="BI15" s="4">
        <v>0.51374637894581654</v>
      </c>
      <c r="BJ15" s="4">
        <v>-32.887806778559678</v>
      </c>
      <c r="BK15" s="4">
        <v>0.49556759701013464</v>
      </c>
      <c r="BL15" s="4">
        <v>-31.771838980726255</v>
      </c>
      <c r="BM15" s="4">
        <v>0.10426124945108567</v>
      </c>
      <c r="BN15" s="4">
        <v>-31.704814870412498</v>
      </c>
      <c r="BO15" s="4">
        <v>4.0994540457158057E-2</v>
      </c>
      <c r="BP15" s="4">
        <v>-33.172372903746989</v>
      </c>
      <c r="BQ15" s="4">
        <v>0.28115875016371361</v>
      </c>
      <c r="BR15" s="4">
        <v>-32.593208240281179</v>
      </c>
      <c r="BS15" s="4">
        <v>9.0818150864985847E-2</v>
      </c>
      <c r="BT15" s="4">
        <v>-32.494412687152277</v>
      </c>
      <c r="BU15" s="4">
        <v>0.18447292024117357</v>
      </c>
      <c r="BV15" s="4">
        <v>-34.090099431984051</v>
      </c>
      <c r="BW15" s="4">
        <v>5.5042628260494997E-2</v>
      </c>
      <c r="BX15" s="4">
        <v>-31.608384589859188</v>
      </c>
      <c r="BY15" s="4">
        <f t="shared" si="4"/>
        <v>1.8256620509994548E-2</v>
      </c>
      <c r="BZ15" s="4">
        <v>8.9787640644853617E-2</v>
      </c>
      <c r="CA15" s="4">
        <v>-33.254658186583164</v>
      </c>
      <c r="CB15" s="4">
        <v>8.8172804463898403E-3</v>
      </c>
      <c r="CC15" s="4">
        <v>-33.154116283236995</v>
      </c>
      <c r="CD15" s="4">
        <v>0.18425855157014998</v>
      </c>
      <c r="CE15" s="4">
        <v>-36.731337530192889</v>
      </c>
      <c r="CF15" s="4">
        <v>0.22060687271318763</v>
      </c>
      <c r="CG15" s="4">
        <v>-34.667459665936903</v>
      </c>
      <c r="CH15" s="4">
        <v>9.1467533844830279E-2</v>
      </c>
    </row>
    <row r="16" spans="1:86" x14ac:dyDescent="0.3">
      <c r="A16" t="str">
        <f t="shared" si="0"/>
        <v>198 (11244-12089)</v>
      </c>
      <c r="B16">
        <v>198</v>
      </c>
      <c r="C16">
        <f t="shared" si="2"/>
        <v>6.6225165562913912E-2</v>
      </c>
      <c r="D16">
        <v>11601</v>
      </c>
      <c r="E16">
        <v>11244</v>
      </c>
      <c r="F16">
        <v>12089</v>
      </c>
      <c r="G16">
        <v>7.0792682926829276</v>
      </c>
      <c r="H16">
        <v>29.271297509829623</v>
      </c>
      <c r="I16">
        <v>0.30897250361794504</v>
      </c>
      <c r="J16">
        <f t="shared" si="1"/>
        <v>0.91759465478841873</v>
      </c>
      <c r="K16">
        <v>0.75874769797421737</v>
      </c>
      <c r="L16">
        <v>0.92915121152388314</v>
      </c>
      <c r="M16">
        <f t="shared" si="3"/>
        <v>14.625000000000002</v>
      </c>
      <c r="N16">
        <v>1.9565217391304349E-3</v>
      </c>
      <c r="O16">
        <v>0</v>
      </c>
      <c r="P16">
        <v>0</v>
      </c>
      <c r="Q16">
        <v>2.1739130434782605E-3</v>
      </c>
      <c r="R16">
        <v>4.9999999999999992E-3</v>
      </c>
      <c r="S16">
        <v>5.3623188405797096E-3</v>
      </c>
      <c r="T16">
        <v>1.5362318840579712E-2</v>
      </c>
      <c r="U16">
        <v>2.0362318840579711E-2</v>
      </c>
      <c r="V16">
        <v>1.8913043478260869E-2</v>
      </c>
      <c r="W16">
        <v>1.0144927536231883E-2</v>
      </c>
      <c r="X16">
        <v>1.2028985507246378E-2</v>
      </c>
      <c r="Y16">
        <v>8.5507246376811587E-3</v>
      </c>
      <c r="Z16">
        <v>3.2536231884057971E-2</v>
      </c>
      <c r="AA16">
        <v>9.4202898550724637E-4</v>
      </c>
      <c r="AB16">
        <v>3.9347826086956521E-2</v>
      </c>
      <c r="AC16">
        <v>4.1304347826086954E-3</v>
      </c>
      <c r="AD16">
        <v>2.9855072463768118E-2</v>
      </c>
      <c r="AE16">
        <v>0</v>
      </c>
      <c r="AF16">
        <v>8.8405797101449267E-3</v>
      </c>
      <c r="AG16">
        <v>0</v>
      </c>
      <c r="AH16">
        <v>0</v>
      </c>
      <c r="AI16">
        <v>0</v>
      </c>
      <c r="AJ16" s="6"/>
      <c r="AK16" s="6">
        <v>-35.697133689645966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4">
        <v>-33.484353698616687</v>
      </c>
      <c r="BM16" s="4">
        <v>0.28649060128757381</v>
      </c>
      <c r="BN16" s="4">
        <v>-31.998706334905275</v>
      </c>
      <c r="BO16" s="4">
        <v>0.47440761813557875</v>
      </c>
      <c r="BP16" s="4">
        <v>-31.212168441662794</v>
      </c>
      <c r="BQ16" s="4">
        <v>0.80170363318768278</v>
      </c>
      <c r="BR16" s="4">
        <v>-31.372487968470793</v>
      </c>
      <c r="BS16" s="4">
        <v>1.6045266226763564</v>
      </c>
      <c r="BT16" s="4">
        <v>-32.044840126675865</v>
      </c>
      <c r="BU16" s="4">
        <v>0.38897443454871189</v>
      </c>
      <c r="BV16" s="4">
        <v>-30.704551233034291</v>
      </c>
      <c r="BW16" s="4">
        <v>5.7287663236273351E-2</v>
      </c>
      <c r="BX16" s="4">
        <v>-32.131117909359951</v>
      </c>
      <c r="BY16" s="4"/>
      <c r="BZ16" s="4">
        <v>1.1413343210345939</v>
      </c>
      <c r="CA16" s="4">
        <v>-37.442042298333064</v>
      </c>
      <c r="CB16" s="4">
        <v>1.5937151812882684</v>
      </c>
      <c r="CC16" s="4"/>
      <c r="CD16" s="4"/>
      <c r="CE16" s="5"/>
      <c r="CF16" s="5"/>
      <c r="CG16" s="4"/>
      <c r="CH16" s="4"/>
    </row>
    <row r="17" spans="1:86" x14ac:dyDescent="0.3">
      <c r="A17" t="str">
        <f t="shared" si="0"/>
        <v>197 (11108-11953)</v>
      </c>
      <c r="B17">
        <v>197</v>
      </c>
      <c r="C17">
        <f t="shared" si="2"/>
        <v>0.14925373134328357</v>
      </c>
      <c r="D17">
        <v>11450</v>
      </c>
      <c r="E17">
        <v>11108</v>
      </c>
      <c r="F17">
        <v>11953</v>
      </c>
      <c r="G17">
        <v>4.6147300248029701</v>
      </c>
      <c r="H17">
        <v>28.838657586182684</v>
      </c>
      <c r="I17">
        <v>0.25986213769620459</v>
      </c>
      <c r="J17">
        <f t="shared" si="1"/>
        <v>0.68056908984603393</v>
      </c>
      <c r="K17">
        <v>0.64428044280442809</v>
      </c>
      <c r="L17">
        <v>0.95924060175556336</v>
      </c>
      <c r="M17">
        <f t="shared" si="3"/>
        <v>34.419117647058833</v>
      </c>
      <c r="N17">
        <v>3.3783783783783786E-3</v>
      </c>
      <c r="O17">
        <v>8.0330330330330331E-3</v>
      </c>
      <c r="P17">
        <v>1.1786786786786789E-2</v>
      </c>
      <c r="Q17">
        <v>1.3738738738738741E-2</v>
      </c>
      <c r="R17">
        <v>4.6096096096096092E-2</v>
      </c>
      <c r="S17">
        <v>4.6396396396396394E-2</v>
      </c>
      <c r="T17">
        <v>0.14399399399399401</v>
      </c>
      <c r="U17">
        <v>0.17447447447447445</v>
      </c>
      <c r="V17">
        <v>0.20855855855855859</v>
      </c>
      <c r="W17">
        <v>0.15983483483483482</v>
      </c>
      <c r="X17">
        <v>0.26126126126126126</v>
      </c>
      <c r="Y17">
        <v>0.23040540540540544</v>
      </c>
      <c r="Z17">
        <v>0.77042042042042047</v>
      </c>
      <c r="AA17">
        <v>2.5900900900900903E-2</v>
      </c>
      <c r="AB17">
        <v>0.8138138138138139</v>
      </c>
      <c r="AC17">
        <v>0.12530030030030032</v>
      </c>
      <c r="AD17">
        <v>0.52432432432432441</v>
      </c>
      <c r="AE17">
        <v>5.6981981981981983E-2</v>
      </c>
      <c r="AF17">
        <v>1.6516516516516519E-2</v>
      </c>
      <c r="AG17">
        <v>1.666666666666667E-2</v>
      </c>
      <c r="AH17">
        <v>1.3513513513513514E-2</v>
      </c>
      <c r="AI17">
        <v>0</v>
      </c>
      <c r="AJ17" s="6">
        <v>-197.00788564853124</v>
      </c>
      <c r="AK17" s="6">
        <v>-32.740038602885143</v>
      </c>
      <c r="AL17" s="4">
        <v>-198.05862160812217</v>
      </c>
      <c r="AM17" s="4">
        <v>2.8612908407884623</v>
      </c>
      <c r="AN17" s="4">
        <v>-195.8753639314136</v>
      </c>
      <c r="AO17" s="4">
        <v>4.9561049742052372</v>
      </c>
      <c r="AP17" s="4">
        <v>-185.94935440652543</v>
      </c>
      <c r="AQ17" s="4">
        <v>0.97018330324816127</v>
      </c>
      <c r="AR17" s="4">
        <v>-186.15416151496743</v>
      </c>
      <c r="AS17" s="4">
        <v>4.8025193423046719</v>
      </c>
      <c r="AT17" s="4">
        <v>-207.01568093094608</v>
      </c>
      <c r="AU17" s="4">
        <v>2.4162269768280589</v>
      </c>
      <c r="AV17" s="4">
        <v>-210.853227038792</v>
      </c>
      <c r="AW17" s="4">
        <v>2.1294908889417652</v>
      </c>
      <c r="AX17" s="4">
        <v>-205.91704545055177</v>
      </c>
      <c r="AY17" s="4">
        <v>1.1026282622999797</v>
      </c>
      <c r="AZ17" s="4">
        <v>-204.76486936161353</v>
      </c>
      <c r="BA17" s="4">
        <v>0.19524814942577465</v>
      </c>
      <c r="BB17" s="4">
        <v>-204.85172952469327</v>
      </c>
      <c r="BC17" s="4">
        <v>0.27427411273673868</v>
      </c>
      <c r="BD17" s="5"/>
      <c r="BE17" s="5"/>
      <c r="BF17" s="5"/>
      <c r="BG17" s="5"/>
      <c r="BH17" s="4">
        <v>-33.927605230952231</v>
      </c>
      <c r="BI17" s="4">
        <v>4.9704261335761835E-2</v>
      </c>
      <c r="BJ17" s="4">
        <v>-33.885161338013873</v>
      </c>
      <c r="BK17" s="4">
        <v>0.44662946679795357</v>
      </c>
      <c r="BL17" s="4">
        <v>-32.778436953664666</v>
      </c>
      <c r="BM17" s="4">
        <v>0.65755090779189618</v>
      </c>
      <c r="BN17" s="4">
        <v>-31.591578517685669</v>
      </c>
      <c r="BO17" s="4">
        <v>0.18757713567793852</v>
      </c>
      <c r="BP17" s="4">
        <v>-32.2909392597928</v>
      </c>
      <c r="BQ17" s="4">
        <v>0.23608921793940546</v>
      </c>
      <c r="BR17" s="4">
        <v>-32.205514339145296</v>
      </c>
      <c r="BS17" s="4">
        <v>6.3707665427301038E-2</v>
      </c>
      <c r="BT17" s="4">
        <v>-31.943738556246927</v>
      </c>
      <c r="BU17" s="4">
        <v>4.1894457274961959E-2</v>
      </c>
      <c r="BV17" s="4">
        <v>-31.881232048210443</v>
      </c>
      <c r="BW17" s="4">
        <v>6.254244381144046E-2</v>
      </c>
      <c r="BX17" s="4">
        <v>-31.654380456120577</v>
      </c>
      <c r="BY17" s="4">
        <f t="shared" si="4"/>
        <v>-0.29952256437136526</v>
      </c>
      <c r="BZ17" s="4">
        <v>2.0575086418847034E-3</v>
      </c>
      <c r="CA17" s="4">
        <v>-32.335023930458206</v>
      </c>
      <c r="CB17" s="4">
        <v>0.10769521503335305</v>
      </c>
      <c r="CC17" s="4">
        <v>-32.590461824164166</v>
      </c>
      <c r="CD17" s="4">
        <v>8.5535569427870661E-2</v>
      </c>
      <c r="CE17" s="4">
        <v>-33.198652107756025</v>
      </c>
      <c r="CF17" s="4">
        <v>0.26071935024557935</v>
      </c>
      <c r="CG17" s="4">
        <v>-33.975273528370693</v>
      </c>
      <c r="CH17" s="4">
        <v>2.6264127439352802E-2</v>
      </c>
    </row>
    <row r="18" spans="1:86" x14ac:dyDescent="0.3">
      <c r="A18" t="str">
        <f t="shared" si="0"/>
        <v>196 (11069-11844)</v>
      </c>
      <c r="B18">
        <v>196</v>
      </c>
      <c r="C18">
        <f t="shared" si="2"/>
        <v>0.14705882352941177</v>
      </c>
      <c r="D18">
        <v>11383</v>
      </c>
      <c r="E18">
        <v>11069</v>
      </c>
      <c r="F18">
        <v>11844</v>
      </c>
      <c r="AJ18" s="6"/>
      <c r="AK18" s="6"/>
      <c r="BY18" s="4"/>
    </row>
    <row r="19" spans="1:86" x14ac:dyDescent="0.3">
      <c r="A19" t="str">
        <f t="shared" si="0"/>
        <v>195 (11010-11763)</v>
      </c>
      <c r="B19">
        <v>195</v>
      </c>
      <c r="C19">
        <f t="shared" si="2"/>
        <v>0.14814814814814814</v>
      </c>
      <c r="D19">
        <v>11315</v>
      </c>
      <c r="E19">
        <v>11010</v>
      </c>
      <c r="F19">
        <v>11763</v>
      </c>
      <c r="G19">
        <v>7.0807704874360526</v>
      </c>
      <c r="H19">
        <v>28.990471528797521</v>
      </c>
      <c r="I19">
        <v>0.25680331758443542</v>
      </c>
      <c r="J19">
        <f t="shared" si="1"/>
        <v>0.62851573377889147</v>
      </c>
      <c r="K19">
        <v>0.60240213523131658</v>
      </c>
      <c r="L19">
        <v>0.95360528912223064</v>
      </c>
      <c r="M19">
        <f t="shared" si="3"/>
        <v>29.23717623158964</v>
      </c>
      <c r="N19">
        <v>2.0725388601036268E-3</v>
      </c>
      <c r="O19">
        <v>7.8367875647668388E-3</v>
      </c>
      <c r="P19">
        <v>2.19559585492228E-2</v>
      </c>
      <c r="Q19">
        <v>2.7007772020725393E-2</v>
      </c>
      <c r="R19">
        <v>0.10349740932642489</v>
      </c>
      <c r="S19">
        <v>8.2059585492227985E-2</v>
      </c>
      <c r="T19">
        <v>0.25939119170984454</v>
      </c>
      <c r="U19">
        <v>0.290479274611399</v>
      </c>
      <c r="V19">
        <v>0.35453367875647673</v>
      </c>
      <c r="W19">
        <v>0.22383419689119174</v>
      </c>
      <c r="X19">
        <v>0.45161917098445603</v>
      </c>
      <c r="Y19">
        <v>0.29488341968911919</v>
      </c>
      <c r="Z19">
        <v>1.3954663212435237</v>
      </c>
      <c r="AA19">
        <v>3.4326424870466325E-2</v>
      </c>
      <c r="AB19">
        <v>1.4559585492227982</v>
      </c>
      <c r="AC19">
        <v>0.13173575129533679</v>
      </c>
      <c r="AD19">
        <v>0.87707253886010361</v>
      </c>
      <c r="AE19">
        <v>5.9520725388601044E-2</v>
      </c>
      <c r="AF19">
        <v>0.22370466321243526</v>
      </c>
      <c r="AG19">
        <v>1.3665803108808289E-2</v>
      </c>
      <c r="AH19">
        <v>1.7357512953367876E-2</v>
      </c>
      <c r="AI19">
        <v>0</v>
      </c>
      <c r="AJ19" s="6">
        <v>-204.16710103940525</v>
      </c>
      <c r="AK19" s="6">
        <v>-33.131899952456529</v>
      </c>
      <c r="AL19" s="4">
        <v>-204.60068394291716</v>
      </c>
      <c r="AM19" s="4">
        <v>0.89437201700711144</v>
      </c>
      <c r="AN19" s="4">
        <v>-184.63515762926716</v>
      </c>
      <c r="AO19" s="4">
        <v>3.7574168428880648</v>
      </c>
      <c r="AP19" s="4">
        <v>-198.12773655640797</v>
      </c>
      <c r="AQ19" s="4">
        <v>3.091548565980597</v>
      </c>
      <c r="AR19" s="4">
        <v>-199.91225374861745</v>
      </c>
      <c r="AS19" s="4">
        <v>1.6279668434132604</v>
      </c>
      <c r="AT19" s="4">
        <v>-209.77288261889066</v>
      </c>
      <c r="AU19" s="4">
        <v>1.9568515443407652</v>
      </c>
      <c r="AV19" s="4">
        <v>-222.92345727743171</v>
      </c>
      <c r="AW19" s="4">
        <v>2.9639773128453286</v>
      </c>
      <c r="AX19" s="4">
        <v>-208.15773563954531</v>
      </c>
      <c r="AY19" s="4">
        <v>0.18371425211749862</v>
      </c>
      <c r="AZ19" s="4">
        <v>-223.45740592249683</v>
      </c>
      <c r="BA19" s="4">
        <v>0.36202265655739563</v>
      </c>
      <c r="BB19" s="4">
        <v>-209.21116752752249</v>
      </c>
      <c r="BC19" s="4">
        <v>0.83540259693350971</v>
      </c>
      <c r="BD19" s="4">
        <v>-208.35342180596723</v>
      </c>
      <c r="BE19" s="4">
        <v>0.60462575327893808</v>
      </c>
      <c r="BF19" s="4">
        <v>-195.96281342256094</v>
      </c>
      <c r="BG19" s="4">
        <v>0.67394525359791779</v>
      </c>
      <c r="BH19" s="4">
        <v>-31.910581804794955</v>
      </c>
      <c r="BI19" s="4">
        <v>0.99125042283663545</v>
      </c>
      <c r="BJ19" s="4">
        <v>-35.769271405996669</v>
      </c>
      <c r="BK19" s="4">
        <v>0.91480078388162511</v>
      </c>
      <c r="BL19" s="4">
        <v>-32.323876339139872</v>
      </c>
      <c r="BM19" s="4">
        <v>5.0781098555160331E-2</v>
      </c>
      <c r="BN19" s="4">
        <v>-31.516996793847113</v>
      </c>
      <c r="BO19" s="4">
        <v>2.3698262213671061E-2</v>
      </c>
      <c r="BP19" s="4">
        <v>-32.301043413217684</v>
      </c>
      <c r="BQ19" s="4">
        <v>0.24019162669202629</v>
      </c>
      <c r="BR19" s="4">
        <v>-32.40596840160481</v>
      </c>
      <c r="BS19" s="4">
        <v>9.3531188010613445E-3</v>
      </c>
      <c r="BT19" s="4">
        <v>-32.388437272475294</v>
      </c>
      <c r="BU19" s="4">
        <v>7.7585602913064836E-2</v>
      </c>
      <c r="BV19" s="4">
        <v>-32.691137182928024</v>
      </c>
      <c r="BW19" s="4">
        <v>0.19932759114434126</v>
      </c>
      <c r="BX19" s="4">
        <v>-32.005900691402751</v>
      </c>
      <c r="BY19" s="4">
        <f t="shared" si="4"/>
        <v>-0.59366120054019689</v>
      </c>
      <c r="BZ19" s="4">
        <v>0.15554788738552178</v>
      </c>
      <c r="CA19" s="4">
        <v>-33.602708200889438</v>
      </c>
      <c r="CB19" s="4">
        <v>0.25320226954327041</v>
      </c>
      <c r="CC19" s="4">
        <v>-32.894704613757881</v>
      </c>
      <c r="CD19" s="4">
        <v>0.14153127883440961</v>
      </c>
      <c r="CE19" s="4">
        <v>-34.907915832957357</v>
      </c>
      <c r="CF19" s="4">
        <v>0.18366153766199242</v>
      </c>
      <c r="CG19" s="4">
        <v>-34.495094552208933</v>
      </c>
      <c r="CH19" s="4">
        <v>0.30591790331284796</v>
      </c>
    </row>
    <row r="20" spans="1:86" x14ac:dyDescent="0.3">
      <c r="A20" t="str">
        <f t="shared" si="0"/>
        <v>193 (10821-11642)</v>
      </c>
      <c r="B20">
        <v>193</v>
      </c>
      <c r="C20">
        <f t="shared" si="2"/>
        <v>0.14925373134328357</v>
      </c>
      <c r="D20">
        <v>11180</v>
      </c>
      <c r="E20">
        <v>10821</v>
      </c>
      <c r="F20">
        <v>11642</v>
      </c>
      <c r="G20">
        <v>3.7402847371351307</v>
      </c>
      <c r="H20">
        <v>29.31265334735366</v>
      </c>
      <c r="I20">
        <v>0.2573467674223342</v>
      </c>
      <c r="J20">
        <f t="shared" si="1"/>
        <v>0.91777509068923824</v>
      </c>
      <c r="K20">
        <v>0.75148514851485149</v>
      </c>
      <c r="L20">
        <v>0.93708633262473617</v>
      </c>
      <c r="M20">
        <f t="shared" si="3"/>
        <v>5.794642857142855</v>
      </c>
      <c r="N20">
        <v>2.2849462365591398E-3</v>
      </c>
      <c r="O20">
        <v>0</v>
      </c>
      <c r="P20">
        <v>7.1236559139784949E-3</v>
      </c>
      <c r="Q20">
        <v>1.65994623655914E-2</v>
      </c>
      <c r="R20">
        <v>2.0698924731182799E-2</v>
      </c>
      <c r="S20">
        <v>2.0497311827956988E-2</v>
      </c>
      <c r="T20">
        <v>1.5860215053763439E-2</v>
      </c>
      <c r="U20">
        <v>1.4650537634408604E-2</v>
      </c>
      <c r="V20">
        <v>1.6465053763440859E-2</v>
      </c>
      <c r="W20">
        <v>1.5322580645161288E-2</v>
      </c>
      <c r="X20">
        <v>2.4731182795698928E-2</v>
      </c>
      <c r="Y20">
        <v>2.5268817204301075E-2</v>
      </c>
      <c r="Z20">
        <v>5.5577956989247307E-2</v>
      </c>
      <c r="AA20">
        <v>2.6881720430107529E-3</v>
      </c>
      <c r="AB20">
        <v>6.7876344086021501E-2</v>
      </c>
      <c r="AC20">
        <v>1.4852150537634407E-2</v>
      </c>
      <c r="AD20">
        <v>5.1008064516129027E-2</v>
      </c>
      <c r="AE20">
        <v>8.4005376344086016E-3</v>
      </c>
      <c r="AF20">
        <v>1.7271505376344084E-2</v>
      </c>
      <c r="AG20">
        <v>0</v>
      </c>
      <c r="AH20">
        <v>0</v>
      </c>
      <c r="AI20">
        <v>0</v>
      </c>
      <c r="AJ20" s="6"/>
      <c r="AK20" s="6">
        <v>-32.811429977874006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4">
        <v>-26.261892893316947</v>
      </c>
      <c r="BI20" s="4">
        <v>0.36067419274422108</v>
      </c>
      <c r="BJ20" s="4">
        <v>-26.593790838586077</v>
      </c>
      <c r="BK20" s="4">
        <v>1.4038563651033118E-2</v>
      </c>
      <c r="BL20" s="4">
        <v>-29.124229901711587</v>
      </c>
      <c r="BM20" s="4">
        <v>0.71343628944811976</v>
      </c>
      <c r="BN20" s="4">
        <v>-28.917842389034043</v>
      </c>
      <c r="BO20" s="4">
        <v>0.86815830788899817</v>
      </c>
      <c r="BP20" s="4">
        <v>-30.045007169994939</v>
      </c>
      <c r="BQ20" s="4">
        <v>0.13638337983163742</v>
      </c>
      <c r="BR20" s="4">
        <v>-31.450794339489605</v>
      </c>
      <c r="BS20" s="4">
        <v>0.27728510449672156</v>
      </c>
      <c r="BT20" s="4">
        <v>-31.396455872043628</v>
      </c>
      <c r="BU20" s="4">
        <v>0.30285141994894105</v>
      </c>
      <c r="BV20" s="4">
        <v>-30.751909142069117</v>
      </c>
      <c r="BW20" s="4">
        <v>0.66784989666356831</v>
      </c>
      <c r="BX20" s="4">
        <v>-31.02919366994654</v>
      </c>
      <c r="BY20" s="4">
        <f t="shared" si="4"/>
        <v>-2.5629325971282597</v>
      </c>
      <c r="BZ20" s="4">
        <v>0.10330176239203587</v>
      </c>
      <c r="CA20" s="4">
        <v>-30.993939226261364</v>
      </c>
      <c r="CB20" s="4">
        <v>1.5182045247941813</v>
      </c>
      <c r="CC20" s="4">
        <v>-32.607939767123199</v>
      </c>
      <c r="CD20" s="4">
        <v>0.22912933743670247</v>
      </c>
      <c r="CE20" s="4">
        <v>-34.298823125347774</v>
      </c>
      <c r="CF20" s="4">
        <v>0.58332226554778455</v>
      </c>
      <c r="CG20" s="4">
        <v>-34.79715649655229</v>
      </c>
      <c r="CH20" s="4">
        <v>0.83431273550178309</v>
      </c>
    </row>
    <row r="21" spans="1:86" x14ac:dyDescent="0.3">
      <c r="A21" t="str">
        <f t="shared" si="0"/>
        <v>192 (10684-11613)</v>
      </c>
      <c r="B21">
        <v>192</v>
      </c>
      <c r="C21">
        <f t="shared" si="2"/>
        <v>0.15873015873015872</v>
      </c>
      <c r="D21">
        <v>11113</v>
      </c>
      <c r="E21">
        <v>10684</v>
      </c>
      <c r="F21">
        <v>11613</v>
      </c>
      <c r="G21">
        <v>7.1046634271948044</v>
      </c>
      <c r="H21">
        <v>29.095190053707601</v>
      </c>
      <c r="I21">
        <v>0.28262397923314042</v>
      </c>
      <c r="J21">
        <f t="shared" si="1"/>
        <v>0.66960078243087051</v>
      </c>
      <c r="K21">
        <v>0.60898394857073546</v>
      </c>
      <c r="L21">
        <v>0.95627910818871464</v>
      </c>
      <c r="M21">
        <f t="shared" si="3"/>
        <v>23.138558692421991</v>
      </c>
      <c r="N21">
        <v>2.7285129604365625E-3</v>
      </c>
      <c r="O21">
        <v>1.4597544338335608E-2</v>
      </c>
      <c r="P21">
        <v>3.3083219645293316E-2</v>
      </c>
      <c r="Q21">
        <v>4.0586630286493869E-2</v>
      </c>
      <c r="R21">
        <v>0.14781718963165077</v>
      </c>
      <c r="S21">
        <v>8.6562073669849943E-2</v>
      </c>
      <c r="T21">
        <v>0.31418826739427019</v>
      </c>
      <c r="U21">
        <v>0.4319236016371078</v>
      </c>
      <c r="V21">
        <v>0.55729877216916779</v>
      </c>
      <c r="W21">
        <v>0.31391541609822649</v>
      </c>
      <c r="X21">
        <v>0.51214188267394267</v>
      </c>
      <c r="Y21">
        <v>0.31487039563437924</v>
      </c>
      <c r="Z21">
        <v>1.5343792633015008</v>
      </c>
      <c r="AA21">
        <v>3.6562073669849933E-2</v>
      </c>
      <c r="AB21">
        <v>1.6871077762619375</v>
      </c>
      <c r="AC21">
        <v>0.14904502046384721</v>
      </c>
      <c r="AD21">
        <v>1.0274215552523875</v>
      </c>
      <c r="AE21">
        <v>7.52387448840382E-2</v>
      </c>
      <c r="AF21">
        <v>0.32053206002728518</v>
      </c>
      <c r="AG21">
        <v>2.2305593451568895E-2</v>
      </c>
      <c r="AH21">
        <v>2.8240109140518416E-2</v>
      </c>
      <c r="AI21">
        <v>3.956343792633015E-3</v>
      </c>
      <c r="AJ21" s="6">
        <v>-204.19498542837775</v>
      </c>
      <c r="AK21" s="6">
        <v>-33.237212947749121</v>
      </c>
      <c r="AL21" s="4">
        <v>-202.24723756927904</v>
      </c>
      <c r="AM21" s="4">
        <v>0.3125005721005053</v>
      </c>
      <c r="AN21" s="4">
        <v>-188.46032160380389</v>
      </c>
      <c r="AO21" s="4">
        <v>3.1275588048710583</v>
      </c>
      <c r="AP21" s="4">
        <v>-193.43117271515001</v>
      </c>
      <c r="AQ21" s="4">
        <v>0.19505743376214521</v>
      </c>
      <c r="AR21" s="4">
        <v>-195.22451895893079</v>
      </c>
      <c r="AS21" s="4">
        <v>2.9657397499813443</v>
      </c>
      <c r="AT21" s="4">
        <v>-216.90654600070417</v>
      </c>
      <c r="AU21" s="4">
        <v>1.3082586555554705</v>
      </c>
      <c r="AV21" s="5"/>
      <c r="AW21" s="5"/>
      <c r="AX21" s="4">
        <v>-204.54965750494827</v>
      </c>
      <c r="AY21" s="4">
        <v>4.250985202493573</v>
      </c>
      <c r="AZ21" s="4">
        <v>-220.74922977810746</v>
      </c>
      <c r="BA21" s="4">
        <v>4.1435198935055695</v>
      </c>
      <c r="BB21" s="4">
        <v>-208.96222875972273</v>
      </c>
      <c r="BC21" s="4">
        <v>1.5384914309047044</v>
      </c>
      <c r="BD21" s="4">
        <v>-207.01807844496926</v>
      </c>
      <c r="BE21" s="4">
        <v>3.5126463573303002</v>
      </c>
      <c r="BF21" s="4">
        <v>-196.1145751959109</v>
      </c>
      <c r="BG21" s="4">
        <v>4.0603265464937</v>
      </c>
      <c r="BH21" s="4">
        <v>-33.364149837477498</v>
      </c>
      <c r="BI21" s="4">
        <v>0.6049975647189475</v>
      </c>
      <c r="BJ21" s="4">
        <v>-33.592047783198936</v>
      </c>
      <c r="BK21" s="4">
        <v>9.1619920676118641E-2</v>
      </c>
      <c r="BL21" s="4">
        <v>-32.071060755952907</v>
      </c>
      <c r="BM21" s="4">
        <v>0.11442939277071267</v>
      </c>
      <c r="BN21" s="4">
        <v>-31.386209605100156</v>
      </c>
      <c r="BO21" s="4">
        <v>4.4798444855800854E-2</v>
      </c>
      <c r="BP21" s="4">
        <v>-32.06181567757006</v>
      </c>
      <c r="BQ21" s="4">
        <v>9.1204898446619317E-2</v>
      </c>
      <c r="BR21" s="4">
        <v>-32.304328787555434</v>
      </c>
      <c r="BS21" s="4">
        <v>3.6989380086859501E-2</v>
      </c>
      <c r="BT21" s="4">
        <v>-32.491043095722205</v>
      </c>
      <c r="BU21" s="4">
        <v>0.13581204941220923</v>
      </c>
      <c r="BV21" s="4">
        <v>-33.05928531589673</v>
      </c>
      <c r="BW21" s="4">
        <v>0.56790935579606594</v>
      </c>
      <c r="BX21" s="4">
        <v>-32.017638842782894</v>
      </c>
      <c r="BY21" s="4">
        <f t="shared" si="4"/>
        <v>-1.0287375462526143</v>
      </c>
      <c r="BZ21" s="4">
        <v>7.0914844447890812E-2</v>
      </c>
      <c r="CA21" s="4">
        <v>-34.092593765276305</v>
      </c>
      <c r="CB21" s="4">
        <v>4.1759851536980246E-2</v>
      </c>
      <c r="CC21" s="4">
        <v>-33.090553223822674</v>
      </c>
      <c r="CD21" s="4">
        <v>7.7240191939823413E-2</v>
      </c>
      <c r="CE21" s="4">
        <v>-35.971045930566049</v>
      </c>
      <c r="CF21" s="4">
        <v>0.31754799188528265</v>
      </c>
      <c r="CG21" s="4">
        <v>-34.603446776641803</v>
      </c>
      <c r="CH21" s="4">
        <v>0.1236220767430613</v>
      </c>
    </row>
    <row r="22" spans="1:86" x14ac:dyDescent="0.3">
      <c r="A22" t="str">
        <f t="shared" si="0"/>
        <v>191 (10663-11523)</v>
      </c>
      <c r="B22">
        <v>191</v>
      </c>
      <c r="C22">
        <f t="shared" si="2"/>
        <v>0.15037593984962405</v>
      </c>
      <c r="D22">
        <v>11050</v>
      </c>
      <c r="E22">
        <v>10663</v>
      </c>
      <c r="F22">
        <v>11523</v>
      </c>
      <c r="G22">
        <v>7.6017901797083676</v>
      </c>
      <c r="H22">
        <v>28.935686166803997</v>
      </c>
      <c r="I22">
        <v>0.26304373662942709</v>
      </c>
      <c r="J22">
        <f t="shared" si="1"/>
        <v>0.52807863269266897</v>
      </c>
      <c r="K22">
        <v>0.51533479960899309</v>
      </c>
      <c r="L22">
        <v>0.94802405516741506</v>
      </c>
      <c r="M22">
        <f t="shared" si="3"/>
        <v>22.294149808638601</v>
      </c>
      <c r="N22">
        <v>2.6530612244897965E-3</v>
      </c>
      <c r="O22">
        <v>7.6870748299319724E-3</v>
      </c>
      <c r="P22">
        <v>2.3333333333333338E-2</v>
      </c>
      <c r="Q22">
        <v>3.1360544217687081E-2</v>
      </c>
      <c r="R22">
        <v>9.8435374149659874E-2</v>
      </c>
      <c r="S22">
        <v>4.7891156462585044E-2</v>
      </c>
      <c r="T22">
        <v>0.13959183673469389</v>
      </c>
      <c r="U22">
        <v>0.17081632653061227</v>
      </c>
      <c r="V22">
        <v>0.27115646258503406</v>
      </c>
      <c r="W22">
        <v>0.16571428571428573</v>
      </c>
      <c r="X22">
        <v>0.33108843537414973</v>
      </c>
      <c r="Y22">
        <v>0.20027210884353744</v>
      </c>
      <c r="Z22">
        <v>1.0865986394557823</v>
      </c>
      <c r="AA22">
        <v>2.2244897959183677E-2</v>
      </c>
      <c r="AB22">
        <v>1.1134693877551023</v>
      </c>
      <c r="AC22">
        <v>8.2585034013605466E-2</v>
      </c>
      <c r="AD22">
        <v>0.57380952380952388</v>
      </c>
      <c r="AE22">
        <v>4.6258503401360548E-2</v>
      </c>
      <c r="AF22">
        <v>0.17789115646258505</v>
      </c>
      <c r="AG22">
        <v>1.938775510204082E-2</v>
      </c>
      <c r="AH22">
        <v>2.0476190476190478E-2</v>
      </c>
      <c r="AI22">
        <v>0</v>
      </c>
      <c r="AJ22" s="6">
        <v>-185.94553419050493</v>
      </c>
      <c r="AK22" s="6">
        <v>-33.058633611407053</v>
      </c>
      <c r="AL22" s="5"/>
      <c r="AM22" s="5"/>
      <c r="AN22" s="4">
        <v>-162.78289430790838</v>
      </c>
      <c r="AO22" s="4">
        <v>3.1342425348814218</v>
      </c>
      <c r="AP22" s="4">
        <v>-159.52663667421371</v>
      </c>
      <c r="AQ22" s="4">
        <v>3.0729742180028681</v>
      </c>
      <c r="AR22" s="4">
        <v>-184.36700584500818</v>
      </c>
      <c r="AS22" s="4">
        <v>0.85626757497727868</v>
      </c>
      <c r="AT22" s="4">
        <v>-212.36443170679613</v>
      </c>
      <c r="AU22" s="4">
        <v>4.140713070052791</v>
      </c>
      <c r="AV22" s="4">
        <v>-210.69963977100301</v>
      </c>
      <c r="AW22" s="4">
        <v>2.1455413702072832</v>
      </c>
      <c r="AX22" s="4">
        <v>-211.08071927714215</v>
      </c>
      <c r="AY22" s="4">
        <v>3.8210430628511505</v>
      </c>
      <c r="AZ22" s="4">
        <v>-217.70804792712642</v>
      </c>
      <c r="BA22" s="4">
        <v>2.8586889189578959</v>
      </c>
      <c r="BB22" s="4">
        <v>-206.79804837472554</v>
      </c>
      <c r="BC22" s="4">
        <v>0.78729519684657223</v>
      </c>
      <c r="BD22" s="4">
        <v>-210.88411389587469</v>
      </c>
      <c r="BE22" s="4">
        <v>4.5607368683352343</v>
      </c>
      <c r="BF22" s="4">
        <v>-200.94879472354074</v>
      </c>
      <c r="BG22" s="4">
        <v>1.580022999788891</v>
      </c>
      <c r="BH22" s="4">
        <v>-29.674679888761702</v>
      </c>
      <c r="BI22" s="4">
        <v>9.3874041310763545E-2</v>
      </c>
      <c r="BJ22" s="4">
        <v>-32.219673019953895</v>
      </c>
      <c r="BK22" s="4">
        <v>0.97659695596471907</v>
      </c>
      <c r="BL22" s="4">
        <v>-32.11477572990924</v>
      </c>
      <c r="BM22" s="4">
        <v>2.4434814824432285E-2</v>
      </c>
      <c r="BN22" s="4">
        <v>-31.44344949383758</v>
      </c>
      <c r="BO22" s="4">
        <v>0.52391793889320892</v>
      </c>
      <c r="BP22" s="4">
        <v>-32.169826266501168</v>
      </c>
      <c r="BQ22" s="4">
        <v>4.3219868595253591E-2</v>
      </c>
      <c r="BR22" s="4">
        <v>-31.537993173820443</v>
      </c>
      <c r="BS22" s="4">
        <v>0.15900318684111447</v>
      </c>
      <c r="BT22" s="4">
        <v>-32.220395498526429</v>
      </c>
      <c r="BU22" s="4">
        <v>0.11395234385861251</v>
      </c>
      <c r="BV22" s="4">
        <v>-33.307087288055442</v>
      </c>
      <c r="BW22" s="4">
        <v>0.17481867881827121</v>
      </c>
      <c r="BX22" s="4">
        <v>-31.712834819988238</v>
      </c>
      <c r="BY22" s="4">
        <f t="shared" si="4"/>
        <v>-0.6617033273896098</v>
      </c>
      <c r="BZ22" s="4">
        <v>3.0405187387855404E-3</v>
      </c>
      <c r="CA22" s="4">
        <v>-33.673328673144134</v>
      </c>
      <c r="CB22" s="4">
        <v>0.14851730131738358</v>
      </c>
      <c r="CC22" s="4">
        <v>-32.831529593890778</v>
      </c>
      <c r="CD22" s="4">
        <v>3.1178352726416895E-2</v>
      </c>
      <c r="CE22" s="4">
        <v>-36.095063897289094</v>
      </c>
      <c r="CF22" s="4">
        <v>0.36813773997305316</v>
      </c>
      <c r="CG22" s="4">
        <v>-34.631536420342137</v>
      </c>
      <c r="CH22" s="4">
        <v>7.220637088082521E-2</v>
      </c>
    </row>
    <row r="23" spans="1:86" x14ac:dyDescent="0.3">
      <c r="A23" t="str">
        <f t="shared" si="0"/>
        <v>189 (10613-11377)</v>
      </c>
      <c r="B23">
        <v>189</v>
      </c>
      <c r="C23">
        <f t="shared" si="2"/>
        <v>0.14285714285714285</v>
      </c>
      <c r="D23">
        <v>10917</v>
      </c>
      <c r="E23">
        <v>10613</v>
      </c>
      <c r="F23">
        <v>11377</v>
      </c>
      <c r="G23">
        <v>8.1238349518963382</v>
      </c>
      <c r="H23">
        <v>28.927816075360013</v>
      </c>
      <c r="I23">
        <v>0.29173557412953111</v>
      </c>
      <c r="J23">
        <f t="shared" si="1"/>
        <v>0.52624776297474651</v>
      </c>
      <c r="K23">
        <v>0.50156353643513685</v>
      </c>
      <c r="L23">
        <v>0.95024470898779367</v>
      </c>
      <c r="M23">
        <f t="shared" si="3"/>
        <v>15.931119311193115</v>
      </c>
      <c r="N23">
        <v>3.2595325953259533E-3</v>
      </c>
      <c r="O23">
        <v>6.3960639606396065E-3</v>
      </c>
      <c r="P23">
        <v>2.023370233702337E-2</v>
      </c>
      <c r="Q23">
        <v>2.2017220172201722E-2</v>
      </c>
      <c r="R23">
        <v>7.6506765067650667E-2</v>
      </c>
      <c r="S23">
        <v>4.6924969249692493E-2</v>
      </c>
      <c r="T23">
        <v>0.15350553505535056</v>
      </c>
      <c r="U23">
        <v>0.18708487084870848</v>
      </c>
      <c r="V23">
        <v>0.22177121771217712</v>
      </c>
      <c r="W23">
        <v>0.11113161131611315</v>
      </c>
      <c r="X23">
        <v>0.17964329643296434</v>
      </c>
      <c r="Y23">
        <v>0.10319803198031981</v>
      </c>
      <c r="Z23">
        <v>0.61857318573185727</v>
      </c>
      <c r="AA23">
        <v>1.2177121771217712E-2</v>
      </c>
      <c r="AB23">
        <v>0.64901599015990163</v>
      </c>
      <c r="AC23">
        <v>4.4649446494464937E-2</v>
      </c>
      <c r="AD23">
        <v>0.32552275522755225</v>
      </c>
      <c r="AE23">
        <v>2.4600246002460024E-2</v>
      </c>
      <c r="AF23">
        <v>0.10110701107011071</v>
      </c>
      <c r="AG23">
        <v>4.4280442804428034E-3</v>
      </c>
      <c r="AH23">
        <v>9.7785977859778609E-3</v>
      </c>
      <c r="AI23">
        <v>0</v>
      </c>
      <c r="AJ23" s="6">
        <v>-128.93942134264603</v>
      </c>
      <c r="AK23" s="6">
        <v>-32.364207228911617</v>
      </c>
      <c r="AL23" s="4">
        <v>-100.61324788191411</v>
      </c>
      <c r="AM23" s="4">
        <v>1.6808690801802904</v>
      </c>
      <c r="AN23" s="4">
        <v>-105.36567468912804</v>
      </c>
      <c r="AO23" s="4">
        <v>3.0974724269102563</v>
      </c>
      <c r="AP23" s="4">
        <v>-103.78883607678235</v>
      </c>
      <c r="AQ23" s="4">
        <v>1.5797675260971482</v>
      </c>
      <c r="AR23" s="4">
        <v>-96.572930111147912</v>
      </c>
      <c r="AS23" s="4">
        <v>1.2736803824015246</v>
      </c>
      <c r="AT23" s="4">
        <v>-182.41618006924165</v>
      </c>
      <c r="AU23" s="4">
        <v>1.4547806919171895</v>
      </c>
      <c r="AV23" s="4">
        <v>-189.79488022705675</v>
      </c>
      <c r="AW23" s="4">
        <v>1.0358468693208749</v>
      </c>
      <c r="AX23" s="4">
        <v>-160.58344548125331</v>
      </c>
      <c r="AY23" s="4">
        <v>0.35809854788464679</v>
      </c>
      <c r="AZ23" s="4">
        <v>-138.54705728697942</v>
      </c>
      <c r="BA23" s="4">
        <v>4.660855124482171</v>
      </c>
      <c r="BB23" s="4">
        <v>-134.34733141501724</v>
      </c>
      <c r="BC23" s="4">
        <v>2.1888431460934821</v>
      </c>
      <c r="BD23" s="5"/>
      <c r="BE23" s="5"/>
      <c r="BF23" s="5"/>
      <c r="BG23" s="5"/>
      <c r="BH23" s="4">
        <v>-30.909694765695697</v>
      </c>
      <c r="BI23" s="4">
        <v>0.88136336541533078</v>
      </c>
      <c r="BJ23" s="4">
        <v>-32.747249389038259</v>
      </c>
      <c r="BK23" s="4">
        <v>0.41064515704094007</v>
      </c>
      <c r="BL23" s="4">
        <v>-31.416839535100749</v>
      </c>
      <c r="BM23" s="4">
        <v>1.115822022318385E-2</v>
      </c>
      <c r="BN23" s="4">
        <v>-31.149137480146909</v>
      </c>
      <c r="BO23" s="4">
        <v>4.3637091242450327E-2</v>
      </c>
      <c r="BP23" s="4">
        <v>-31.661747779247374</v>
      </c>
      <c r="BQ23" s="4">
        <v>7.201521113173226E-2</v>
      </c>
      <c r="BR23" s="4">
        <v>-31.396889663067974</v>
      </c>
      <c r="BS23" s="4">
        <v>0.12188073529201389</v>
      </c>
      <c r="BT23" s="4">
        <v>-32.040047504276814</v>
      </c>
      <c r="BU23" s="4">
        <v>0.10964597590131894</v>
      </c>
      <c r="BV23" s="4">
        <v>-33.103996835225445</v>
      </c>
      <c r="BW23" s="4">
        <v>0.33889101171798258</v>
      </c>
      <c r="BX23" s="4">
        <v>-31.318650272537269</v>
      </c>
      <c r="BY23" s="4">
        <f t="shared" si="4"/>
        <v>-0.38621422132371563</v>
      </c>
      <c r="BZ23" s="4">
        <v>8.2839057648540534E-2</v>
      </c>
      <c r="CA23" s="4">
        <v>-33.278305712983297</v>
      </c>
      <c r="CB23" s="4">
        <v>8.5657312086141885E-2</v>
      </c>
      <c r="CC23" s="4">
        <v>-32.04796200057109</v>
      </c>
      <c r="CD23" s="4">
        <v>3.3882895544155557E-2</v>
      </c>
      <c r="CE23" s="4">
        <v>-33.452431749065283</v>
      </c>
      <c r="CF23" s="4">
        <v>0.87987573395465735</v>
      </c>
      <c r="CG23" s="4">
        <v>-33.726009413626485</v>
      </c>
      <c r="CH23" s="4">
        <v>1.9267655144869361E-2</v>
      </c>
    </row>
    <row r="24" spans="1:86" x14ac:dyDescent="0.3">
      <c r="A24" t="str">
        <f t="shared" si="0"/>
        <v>188 (10559-11331)</v>
      </c>
      <c r="B24">
        <v>188</v>
      </c>
      <c r="C24">
        <f t="shared" si="2"/>
        <v>0.16129032258064516</v>
      </c>
      <c r="D24">
        <v>10847</v>
      </c>
      <c r="E24">
        <v>10559</v>
      </c>
      <c r="F24">
        <v>11331</v>
      </c>
      <c r="G24">
        <v>6.9406997624388946</v>
      </c>
      <c r="H24">
        <v>29.136411673847654</v>
      </c>
      <c r="I24">
        <v>0.30919117647058825</v>
      </c>
      <c r="J24">
        <f t="shared" si="1"/>
        <v>0.69250916710319543</v>
      </c>
      <c r="K24">
        <v>0.54269293924466344</v>
      </c>
      <c r="L24">
        <v>0.96654606355728678</v>
      </c>
      <c r="M24">
        <f t="shared" si="3"/>
        <v>9.9595782073813677</v>
      </c>
      <c r="N24">
        <v>2.4271844660194173E-3</v>
      </c>
      <c r="O24">
        <v>4.9237170596393891E-3</v>
      </c>
      <c r="P24">
        <v>1.4285714285714287E-2</v>
      </c>
      <c r="Q24">
        <v>2.5381414701803055E-2</v>
      </c>
      <c r="R24">
        <v>6.2205270457697651E-2</v>
      </c>
      <c r="S24">
        <v>3.8418862690707357E-2</v>
      </c>
      <c r="T24">
        <v>0.11220527045769765</v>
      </c>
      <c r="U24">
        <v>0.12871012482662966</v>
      </c>
      <c r="V24">
        <v>0.14680998613037452</v>
      </c>
      <c r="W24">
        <v>7.0388349514563117E-2</v>
      </c>
      <c r="X24">
        <v>8.6477115117891828E-2</v>
      </c>
      <c r="Y24">
        <v>5.6726768377253815E-2</v>
      </c>
      <c r="Z24">
        <v>0.2647711511789182</v>
      </c>
      <c r="AA24">
        <v>6.9348127600554789E-3</v>
      </c>
      <c r="AB24">
        <v>0.3378640776699029</v>
      </c>
      <c r="AC24">
        <v>2.1914008321775317E-2</v>
      </c>
      <c r="AD24">
        <v>0.18335644937586687</v>
      </c>
      <c r="AE24">
        <v>1.3384188626907073E-2</v>
      </c>
      <c r="AF24">
        <v>6.1581137309292655E-2</v>
      </c>
      <c r="AG24">
        <v>1.2690707350901527E-2</v>
      </c>
      <c r="AH24">
        <v>5.4785020804438292E-3</v>
      </c>
      <c r="AI24">
        <v>0</v>
      </c>
      <c r="AJ24" s="6">
        <v>-98.804170896169396</v>
      </c>
      <c r="AK24" s="6">
        <v>-31.845426383337429</v>
      </c>
      <c r="AL24" s="4">
        <v>-93.713433952556883</v>
      </c>
      <c r="AM24" s="4">
        <v>2.2599273177441237</v>
      </c>
      <c r="AN24" s="4">
        <v>-88.56681385054867</v>
      </c>
      <c r="AO24" s="4">
        <v>0.28497640118895856</v>
      </c>
      <c r="AP24" s="4">
        <v>-100.68994896137316</v>
      </c>
      <c r="AQ24" s="4">
        <v>1.8881366018159027</v>
      </c>
      <c r="AR24" s="4">
        <v>-93.810072768658586</v>
      </c>
      <c r="AS24" s="4">
        <v>3.0792131912479208</v>
      </c>
      <c r="AT24" s="4">
        <v>-102.0091297745781</v>
      </c>
      <c r="AU24" s="4">
        <v>0.30682029565098151</v>
      </c>
      <c r="AV24" s="5"/>
      <c r="AW24" s="5"/>
      <c r="AX24" s="4">
        <v>-111.20080528267172</v>
      </c>
      <c r="AY24" s="4">
        <v>3.5269099787701745</v>
      </c>
      <c r="AZ24" s="4">
        <v>-92.600905287861124</v>
      </c>
      <c r="BA24" s="4">
        <v>3.9266426534579422</v>
      </c>
      <c r="BB24" s="4">
        <v>-102.94752815893116</v>
      </c>
      <c r="BC24" s="4">
        <v>1.2161551885597732</v>
      </c>
      <c r="BD24" s="5"/>
      <c r="BE24" s="5"/>
      <c r="BF24" s="5"/>
      <c r="BG24" s="5"/>
      <c r="BH24" s="4">
        <v>-30.139031498989421</v>
      </c>
      <c r="BI24" s="4">
        <v>0.3514428214271817</v>
      </c>
      <c r="BJ24" s="4">
        <v>-32.721503645310193</v>
      </c>
      <c r="BK24" s="4">
        <v>0.55561843230815455</v>
      </c>
      <c r="BL24" s="4">
        <v>-29.344982160508422</v>
      </c>
      <c r="BM24" s="4">
        <v>0.28026633870677436</v>
      </c>
      <c r="BN24" s="4">
        <v>-31.128792300904834</v>
      </c>
      <c r="BO24" s="4">
        <v>3.2758879667654277E-2</v>
      </c>
      <c r="BP24" s="4">
        <v>-31.359470725595244</v>
      </c>
      <c r="BQ24" s="4">
        <v>0.1396236735587002</v>
      </c>
      <c r="BR24" s="4">
        <v>-31.156664350390955</v>
      </c>
      <c r="BS24" s="4">
        <v>0.54424550415205408</v>
      </c>
      <c r="BT24" s="4">
        <v>-31.548306801589796</v>
      </c>
      <c r="BU24" s="4">
        <v>8.1353114516995048E-2</v>
      </c>
      <c r="BV24" s="4">
        <v>-30.735335400938347</v>
      </c>
      <c r="BW24" s="4">
        <v>0.38320897330727</v>
      </c>
      <c r="BX24" s="4">
        <v>-30.884623816179918</v>
      </c>
      <c r="BY24" s="4">
        <f t="shared" si="4"/>
        <v>-0.41644549796988883</v>
      </c>
      <c r="BZ24" s="4">
        <v>0.14808526531359642</v>
      </c>
      <c r="CA24" s="4">
        <v>-32.891608808404229</v>
      </c>
      <c r="CB24" s="4">
        <v>0.45683341960281487</v>
      </c>
      <c r="CC24" s="4">
        <v>-31.775916223565133</v>
      </c>
      <c r="CD24" s="4">
        <v>2.8470104665298625E-2</v>
      </c>
      <c r="CE24" s="4">
        <v>-33.729569124828615</v>
      </c>
      <c r="CF24" s="4">
        <v>0.71390124544149347</v>
      </c>
      <c r="CG24" s="4">
        <v>-32.875739110267233</v>
      </c>
      <c r="CH24" s="4">
        <v>0.18729468350133202</v>
      </c>
    </row>
    <row r="25" spans="1:86" x14ac:dyDescent="0.3">
      <c r="A25" t="str">
        <f t="shared" si="0"/>
        <v>187 (10489-11295)</v>
      </c>
      <c r="B25">
        <v>187</v>
      </c>
      <c r="C25">
        <f t="shared" si="2"/>
        <v>0.1834862385321101</v>
      </c>
      <c r="D25">
        <v>10785</v>
      </c>
      <c r="E25">
        <v>10489</v>
      </c>
      <c r="F25">
        <v>11295</v>
      </c>
      <c r="G25">
        <v>4.1822397998793344</v>
      </c>
      <c r="H25">
        <v>29.623789897440808</v>
      </c>
      <c r="I25">
        <v>0.48042931460576704</v>
      </c>
      <c r="J25">
        <f t="shared" si="1"/>
        <v>1.0707692307692307</v>
      </c>
      <c r="K25">
        <v>0.77983193277310903</v>
      </c>
      <c r="M25">
        <f t="shared" si="3"/>
        <v>28.54752615238105</v>
      </c>
      <c r="N25">
        <v>0</v>
      </c>
      <c r="O25">
        <v>8.6221820833090393E-3</v>
      </c>
      <c r="P25">
        <v>1.5187696880691151E-2</v>
      </c>
      <c r="Q25">
        <v>2.341436602439886E-2</v>
      </c>
      <c r="R25">
        <v>1.0046028665873832E-2</v>
      </c>
      <c r="S25">
        <v>8.3927845783402649E-2</v>
      </c>
      <c r="T25">
        <v>0.29250160291527683</v>
      </c>
      <c r="U25">
        <v>0.333812178909693</v>
      </c>
      <c r="V25">
        <v>0.34168472482611412</v>
      </c>
      <c r="W25">
        <v>0.14211162783147885</v>
      </c>
      <c r="X25">
        <v>0.1309926712278737</v>
      </c>
      <c r="Y25">
        <v>6.1438322254956872E-2</v>
      </c>
      <c r="Z25">
        <v>0.20917323474454777</v>
      </c>
      <c r="AA25">
        <v>5.156924748894428E-2</v>
      </c>
      <c r="AB25">
        <v>0.28721094155309063</v>
      </c>
      <c r="AC25">
        <v>2.8881996643574097E-2</v>
      </c>
      <c r="AD25">
        <v>0.22397626366493112</v>
      </c>
      <c r="AE25">
        <v>2.8479740422911501E-2</v>
      </c>
      <c r="AF25">
        <v>0.1099768507291526</v>
      </c>
      <c r="AG25">
        <v>1.1424076666817608E-2</v>
      </c>
      <c r="AH25">
        <v>9.0105393428420583E-3</v>
      </c>
      <c r="AI25">
        <v>0.23692891397026664</v>
      </c>
      <c r="AJ25" s="6"/>
      <c r="AK25" s="6"/>
      <c r="BY25" s="4"/>
    </row>
    <row r="26" spans="1:86" x14ac:dyDescent="0.3">
      <c r="A26" t="str">
        <f t="shared" si="0"/>
        <v>185 (10452-10990)</v>
      </c>
      <c r="B26">
        <v>185</v>
      </c>
      <c r="C26">
        <f t="shared" si="2"/>
        <v>0.18181818181818182</v>
      </c>
      <c r="D26">
        <v>10676</v>
      </c>
      <c r="E26">
        <v>10452</v>
      </c>
      <c r="F26">
        <v>10990</v>
      </c>
      <c r="G26">
        <v>7.0746838279354325</v>
      </c>
      <c r="H26">
        <v>28.948215237080451</v>
      </c>
      <c r="I26">
        <v>0.37282976324689959</v>
      </c>
      <c r="J26">
        <f t="shared" si="1"/>
        <v>0.56945933527339543</v>
      </c>
      <c r="K26">
        <v>0.50188984881209497</v>
      </c>
      <c r="L26">
        <v>0.96828433185812435</v>
      </c>
      <c r="M26">
        <f t="shared" si="3"/>
        <v>9.1714285714285726</v>
      </c>
      <c r="N26">
        <v>2.7656477438136829E-3</v>
      </c>
      <c r="O26">
        <v>1.2445414847161574E-2</v>
      </c>
      <c r="P26">
        <v>3.4133915574963612E-2</v>
      </c>
      <c r="Q26">
        <v>3.7845705967976713E-3</v>
      </c>
      <c r="R26">
        <v>0.10320232896652111</v>
      </c>
      <c r="S26">
        <v>8.486171761280932E-2</v>
      </c>
      <c r="T26">
        <v>0.24570596797671032</v>
      </c>
      <c r="U26">
        <v>0.32852983988355167</v>
      </c>
      <c r="V26">
        <v>0.31644832605531292</v>
      </c>
      <c r="W26">
        <v>0.15967976710334791</v>
      </c>
      <c r="X26">
        <v>0.16491994177583696</v>
      </c>
      <c r="Y26">
        <v>9.6360989810771472E-2</v>
      </c>
      <c r="Z26">
        <v>0.47518195050946149</v>
      </c>
      <c r="AA26">
        <v>1.0116448326055311E-2</v>
      </c>
      <c r="AB26">
        <v>0.53915574963609902</v>
      </c>
      <c r="AC26">
        <v>3.6026200873362446E-2</v>
      </c>
      <c r="AD26">
        <v>0.27059679767103345</v>
      </c>
      <c r="AE26">
        <v>1.6957787481804949E-2</v>
      </c>
      <c r="AF26">
        <v>7.4235807860262015E-2</v>
      </c>
      <c r="AG26">
        <v>3.129548762736536E-3</v>
      </c>
      <c r="AH26">
        <v>6.9141193595342069E-3</v>
      </c>
      <c r="AI26">
        <v>0</v>
      </c>
      <c r="AJ26" s="6">
        <v>-123.46467997436496</v>
      </c>
      <c r="AK26" s="6">
        <v>-31.71786334794545</v>
      </c>
      <c r="AL26" s="4">
        <v>-133.4595218945889</v>
      </c>
      <c r="AM26" s="4">
        <v>3.2136105078627781</v>
      </c>
      <c r="AN26" s="4">
        <v>-136.77718584291881</v>
      </c>
      <c r="AO26" s="4">
        <v>1.5540129368036892</v>
      </c>
      <c r="AP26" s="4">
        <v>-115.66158117563532</v>
      </c>
      <c r="AQ26" s="4">
        <v>4.5654776862898343</v>
      </c>
      <c r="AR26" s="4">
        <v>-111.50634403880774</v>
      </c>
      <c r="AS26" s="4">
        <v>1.1581164929106196</v>
      </c>
      <c r="AT26" s="4">
        <v>-121.27293685287063</v>
      </c>
      <c r="AU26" s="4">
        <v>2.5859552893093638</v>
      </c>
      <c r="AV26" s="4">
        <v>-143.19082161682036</v>
      </c>
      <c r="AW26" s="4">
        <v>4.7318837340803599</v>
      </c>
      <c r="AX26" s="4">
        <v>-151.71294056540648</v>
      </c>
      <c r="AY26" s="4">
        <v>0.50954325651893628</v>
      </c>
      <c r="AZ26" s="4">
        <v>-149.87133731909276</v>
      </c>
      <c r="BA26" s="4">
        <v>1.7224120262366072</v>
      </c>
      <c r="BB26" s="4">
        <v>-161.95476999406958</v>
      </c>
      <c r="BC26" s="4">
        <v>4.8864992845316966</v>
      </c>
      <c r="BD26" s="5"/>
      <c r="BE26" s="5"/>
      <c r="BF26" s="5"/>
      <c r="BG26" s="5"/>
      <c r="BH26" s="4">
        <v>-29.010397037382504</v>
      </c>
      <c r="BI26" s="4">
        <v>1.630174275986326E-2</v>
      </c>
      <c r="BJ26" s="4">
        <v>-29.617455506705266</v>
      </c>
      <c r="BK26" s="4">
        <v>0.46569446916031215</v>
      </c>
      <c r="BL26" s="4">
        <v>-30.670641013068174</v>
      </c>
      <c r="BM26" s="4">
        <v>0.1714385755207706</v>
      </c>
      <c r="BN26" s="4">
        <v>-30.727924494359481</v>
      </c>
      <c r="BO26" s="4">
        <v>9.4971244374849328E-2</v>
      </c>
      <c r="BP26" s="4">
        <v>-31.005624039199944</v>
      </c>
      <c r="BQ26" s="4">
        <v>0.13847140427644808</v>
      </c>
      <c r="BR26" s="4">
        <v>-31.225997740812332</v>
      </c>
      <c r="BS26" s="4">
        <v>0.31169129204316637</v>
      </c>
      <c r="BT26" s="4">
        <v>-31.238945011401206</v>
      </c>
      <c r="BU26" s="4">
        <v>0.23522454655003738</v>
      </c>
      <c r="BV26" s="4">
        <v>-31.832532566011274</v>
      </c>
      <c r="BW26" s="4">
        <v>0.40625086478629474</v>
      </c>
      <c r="BX26" s="4">
        <v>-30.742631979649943</v>
      </c>
      <c r="BY26" s="4">
        <f t="shared" si="4"/>
        <v>-0.68091661148179483</v>
      </c>
      <c r="BZ26" s="4">
        <v>0.13387523792219283</v>
      </c>
      <c r="CA26" s="4">
        <v>-32.754524994535288</v>
      </c>
      <c r="CB26" s="4">
        <v>0.41268284255655552</v>
      </c>
      <c r="CC26" s="4">
        <v>-31.686540650681739</v>
      </c>
      <c r="CD26" s="4">
        <v>0.15459438419677851</v>
      </c>
      <c r="CE26" s="4">
        <v>-33.390436727320626</v>
      </c>
      <c r="CF26" s="4">
        <v>1.2978906047556609</v>
      </c>
      <c r="CG26" s="4">
        <v>-32.724417413504668</v>
      </c>
      <c r="CH26" s="4">
        <v>0.20592763927370708</v>
      </c>
    </row>
    <row r="27" spans="1:86" x14ac:dyDescent="0.3">
      <c r="A27" t="str">
        <f t="shared" si="0"/>
        <v>183 (10398-10726)</v>
      </c>
      <c r="B27">
        <v>183</v>
      </c>
      <c r="C27">
        <f t="shared" si="2"/>
        <v>0.17241379310344829</v>
      </c>
      <c r="D27">
        <v>10566</v>
      </c>
      <c r="E27">
        <v>10398</v>
      </c>
      <c r="F27">
        <v>10726</v>
      </c>
      <c r="G27">
        <v>8.0694822608080017</v>
      </c>
      <c r="H27">
        <v>28.85294836093605</v>
      </c>
      <c r="I27">
        <v>0.36741078530144761</v>
      </c>
      <c r="J27">
        <f t="shared" si="1"/>
        <v>0.50233925945729185</v>
      </c>
      <c r="K27">
        <v>0.4598629466470876</v>
      </c>
      <c r="M27">
        <f t="shared" si="3"/>
        <v>21.591768631813125</v>
      </c>
      <c r="N27">
        <v>0</v>
      </c>
      <c r="O27">
        <v>0</v>
      </c>
      <c r="P27">
        <v>8.7140439932318105E-3</v>
      </c>
      <c r="Q27">
        <v>1.5228426395939084E-3</v>
      </c>
      <c r="R27">
        <v>6.7343485617597301E-2</v>
      </c>
      <c r="S27">
        <v>4.6615905245346874E-2</v>
      </c>
      <c r="T27">
        <v>0.19077834179357026</v>
      </c>
      <c r="U27">
        <v>0.34111675126903551</v>
      </c>
      <c r="V27">
        <v>0.37538071065989848</v>
      </c>
      <c r="W27">
        <v>0.19856175972927242</v>
      </c>
      <c r="X27">
        <v>0.21082910321489004</v>
      </c>
      <c r="Y27">
        <v>0.10761421319796956</v>
      </c>
      <c r="Z27">
        <v>0.63291032148900173</v>
      </c>
      <c r="AA27">
        <v>1.0998307952622674E-2</v>
      </c>
      <c r="AB27">
        <v>0.69137055837563455</v>
      </c>
      <c r="AC27">
        <v>3.7817258883248731E-2</v>
      </c>
      <c r="AD27">
        <v>0.31793570219966161</v>
      </c>
      <c r="AE27">
        <v>1.7174280879864636E-2</v>
      </c>
      <c r="AF27">
        <v>8.0879864636209817E-2</v>
      </c>
      <c r="AG27">
        <v>3.1302876480541453E-3</v>
      </c>
      <c r="AH27">
        <v>8.6294416243654828E-3</v>
      </c>
      <c r="AI27">
        <v>0</v>
      </c>
      <c r="AJ27" s="6">
        <v>-90.72913541141493</v>
      </c>
      <c r="AK27" s="6">
        <v>-31.412590039541996</v>
      </c>
      <c r="AL27" s="5"/>
      <c r="AM27" s="5"/>
      <c r="AN27" s="4">
        <v>-86.301333335968721</v>
      </c>
      <c r="AO27" s="4">
        <v>0.1613784340067109</v>
      </c>
      <c r="AP27" s="4">
        <v>-120.16886103973138</v>
      </c>
      <c r="AQ27" s="4">
        <v>1.2933764432938621</v>
      </c>
      <c r="AR27" s="4">
        <v>-89.003608476123503</v>
      </c>
      <c r="AS27" s="4">
        <v>4.2563682348545111</v>
      </c>
      <c r="AT27" s="4">
        <v>-90.388901706081526</v>
      </c>
      <c r="AU27" s="4">
        <v>2.8434764209691683</v>
      </c>
      <c r="AV27" s="5"/>
      <c r="AW27" s="5"/>
      <c r="AX27" s="4">
        <v>-107.76658177645619</v>
      </c>
      <c r="AY27" s="4">
        <v>4.1220063864338155</v>
      </c>
      <c r="AZ27" s="4">
        <v>-112.80429856391943</v>
      </c>
      <c r="BA27" s="4">
        <v>4.2315985356723109</v>
      </c>
      <c r="BB27" s="5"/>
      <c r="BC27" s="5"/>
      <c r="BD27" s="5"/>
      <c r="BE27" s="5"/>
      <c r="BF27" s="5"/>
      <c r="BG27" s="5"/>
      <c r="BH27" s="4">
        <v>-30.005747271519009</v>
      </c>
      <c r="BI27" s="4">
        <v>0.38109213666659292</v>
      </c>
      <c r="BJ27" s="4">
        <v>-32.216779774776938</v>
      </c>
      <c r="BK27" s="4">
        <v>0.73001422369775781</v>
      </c>
      <c r="BL27" s="4">
        <v>-25.6062699010618</v>
      </c>
      <c r="BM27" s="4">
        <v>0.50033077476091481</v>
      </c>
      <c r="BN27" s="4">
        <v>-31.268309926560974</v>
      </c>
      <c r="BO27" s="4">
        <v>8.4241677916816887E-3</v>
      </c>
      <c r="BP27" s="4">
        <v>-31.459060092603323</v>
      </c>
      <c r="BQ27" s="4">
        <v>0.12391058815213381</v>
      </c>
      <c r="BR27" s="4">
        <v>-31.873821367121881</v>
      </c>
      <c r="BS27" s="4">
        <v>7.060956270267349E-2</v>
      </c>
      <c r="BT27" s="4">
        <v>-31.899325014113607</v>
      </c>
      <c r="BU27" s="4">
        <v>5.3418649007220355E-2</v>
      </c>
      <c r="BV27" s="4">
        <v>-31.600726983579818</v>
      </c>
      <c r="BW27" s="4">
        <v>1.3845378025324282</v>
      </c>
      <c r="BX27" s="4">
        <v>-31.106115506465983</v>
      </c>
      <c r="BY27" s="4">
        <f t="shared" si="4"/>
        <v>-0.26000448001468612</v>
      </c>
      <c r="BZ27" s="4">
        <v>3.8324343578116621E-2</v>
      </c>
      <c r="CA27" s="4">
        <v>-33.699798537975447</v>
      </c>
      <c r="CB27" s="4">
        <v>0.78520461358902682</v>
      </c>
      <c r="CC27" s="4">
        <v>-31.719064572618009</v>
      </c>
      <c r="CD27" s="4">
        <v>0.11303673352293826</v>
      </c>
      <c r="CE27" s="5"/>
      <c r="CF27" s="5"/>
      <c r="CG27" s="5"/>
      <c r="CH27" s="5"/>
    </row>
    <row r="28" spans="1:86" x14ac:dyDescent="0.3">
      <c r="A28" t="str">
        <f t="shared" si="0"/>
        <v>182 (10348-10639)</v>
      </c>
      <c r="B28">
        <v>182</v>
      </c>
      <c r="C28">
        <f t="shared" si="2"/>
        <v>0.17320137038446898</v>
      </c>
      <c r="D28">
        <v>10508</v>
      </c>
      <c r="E28">
        <v>10348</v>
      </c>
      <c r="F28">
        <v>10639</v>
      </c>
      <c r="G28">
        <v>5.2179055842248445</v>
      </c>
      <c r="H28">
        <v>28.843380848084454</v>
      </c>
      <c r="I28">
        <v>0.34779290166645466</v>
      </c>
      <c r="J28">
        <f t="shared" si="1"/>
        <v>0.44684230194319879</v>
      </c>
      <c r="K28">
        <v>0.45131156822041896</v>
      </c>
      <c r="L28">
        <v>0.96352975750515979</v>
      </c>
      <c r="M28">
        <f t="shared" si="3"/>
        <v>11.797829036635004</v>
      </c>
      <c r="N28">
        <v>0</v>
      </c>
      <c r="O28">
        <v>3.0187207488299533E-2</v>
      </c>
      <c r="P28">
        <v>4.0873634945397815E-2</v>
      </c>
      <c r="Q28">
        <v>4.5241809672386894E-3</v>
      </c>
      <c r="R28">
        <v>0.13159126365054605</v>
      </c>
      <c r="S28">
        <v>6.4118564742589701E-2</v>
      </c>
      <c r="T28">
        <v>0.20358814352574106</v>
      </c>
      <c r="U28">
        <v>0.27277691107644303</v>
      </c>
      <c r="V28">
        <v>0.3580343213728549</v>
      </c>
      <c r="W28">
        <v>0.19282371294851794</v>
      </c>
      <c r="X28">
        <v>0.28174726989079563</v>
      </c>
      <c r="Y28">
        <v>0.14867394695787831</v>
      </c>
      <c r="Z28">
        <v>0.8349453978159127</v>
      </c>
      <c r="AA28">
        <v>1.5990639625585022E-2</v>
      </c>
      <c r="AB28">
        <v>0.82667706708268329</v>
      </c>
      <c r="AC28">
        <v>5.647425897035882E-2</v>
      </c>
      <c r="AD28">
        <v>0.37308892355694229</v>
      </c>
      <c r="AE28">
        <v>0.15031201248049922</v>
      </c>
      <c r="AF28">
        <v>0.12152886115444618</v>
      </c>
      <c r="AG28">
        <v>2.7223088923556946E-2</v>
      </c>
      <c r="AH28">
        <v>1.622464898595944E-2</v>
      </c>
      <c r="AI28">
        <v>0</v>
      </c>
      <c r="AJ28" s="6">
        <v>-153.92893223710666</v>
      </c>
      <c r="AK28" s="6">
        <v>-32.783781996945805</v>
      </c>
      <c r="AL28" s="4">
        <v>-136.01222269076544</v>
      </c>
      <c r="AM28" s="4">
        <v>1.6464447615629882</v>
      </c>
      <c r="AN28" s="4">
        <v>-139.87569065197169</v>
      </c>
      <c r="AO28" s="4">
        <v>3.2402955842123591</v>
      </c>
      <c r="AP28" s="4">
        <v>-150.83315997777655</v>
      </c>
      <c r="AQ28" s="4">
        <v>2.6974083917470044</v>
      </c>
      <c r="AR28" s="4">
        <v>-136.54426511535564</v>
      </c>
      <c r="AS28" s="4">
        <v>3.8143842709421092</v>
      </c>
      <c r="AT28" s="4">
        <v>-174.94141404277798</v>
      </c>
      <c r="AU28" s="4">
        <v>2.8247111750607554</v>
      </c>
      <c r="AV28" s="4">
        <v>-171.52360894836505</v>
      </c>
      <c r="AW28" s="4">
        <v>4.345050845068446</v>
      </c>
      <c r="AX28" s="4">
        <v>-154.8344099730019</v>
      </c>
      <c r="AY28" s="4">
        <v>1.8539394854633275</v>
      </c>
      <c r="AZ28" s="5"/>
      <c r="BA28" s="5"/>
      <c r="BB28" s="4">
        <v>-151.96717053797167</v>
      </c>
      <c r="BC28" s="4">
        <v>3.9214556090663963</v>
      </c>
      <c r="BD28" s="5"/>
      <c r="BE28" s="5"/>
      <c r="BF28" s="5"/>
      <c r="BG28" s="5"/>
      <c r="BH28" s="4">
        <v>-33.387890698951409</v>
      </c>
      <c r="BI28" s="4">
        <v>0.11991843476774201</v>
      </c>
      <c r="BJ28" s="4">
        <v>-30.458650412406989</v>
      </c>
      <c r="BK28" s="4">
        <v>1.01402580732463</v>
      </c>
      <c r="BL28" s="4">
        <v>-32.009335101162627</v>
      </c>
      <c r="BM28" s="4">
        <v>0.20738071725789775</v>
      </c>
      <c r="BN28" s="4">
        <v>-31.39295638391723</v>
      </c>
      <c r="BO28" s="4">
        <v>0.13662421731640031</v>
      </c>
      <c r="BP28" s="4">
        <v>-32.139607607272033</v>
      </c>
      <c r="BQ28" s="4">
        <v>1.3601906058614952E-2</v>
      </c>
      <c r="BR28" s="4">
        <v>-31.49721602394505</v>
      </c>
      <c r="BS28" s="4">
        <v>2.4423826266002167E-2</v>
      </c>
      <c r="BT28" s="4">
        <v>-32.364027162413066</v>
      </c>
      <c r="BU28" s="4">
        <v>1.8636284210046764E-2</v>
      </c>
      <c r="BV28" s="4">
        <v>-29.462530088394711</v>
      </c>
      <c r="BW28" s="4">
        <v>0.25982387455843514</v>
      </c>
      <c r="BX28" s="4">
        <v>-31.752620378792287</v>
      </c>
      <c r="BY28" s="4">
        <f t="shared" si="4"/>
        <v>-0.54125892599612513</v>
      </c>
      <c r="BZ28" s="4">
        <v>3.2669311614245508E-2</v>
      </c>
      <c r="CA28" s="4">
        <v>-33.552625786934819</v>
      </c>
      <c r="CB28" s="4">
        <v>6.0248783175744789E-3</v>
      </c>
      <c r="CC28" s="4">
        <v>-32.680866533268158</v>
      </c>
      <c r="CD28" s="4">
        <v>1.3479383516729131E-3</v>
      </c>
      <c r="CE28" s="5"/>
      <c r="CF28" s="5"/>
      <c r="CG28" s="4">
        <v>-33.917859078776971</v>
      </c>
      <c r="CH28" s="4">
        <v>0.24097283942445852</v>
      </c>
    </row>
  </sheetData>
  <conditionalFormatting sqref="A1:XFD1">
    <cfRule type="duplicateValues" dxfId="1" priority="1"/>
  </conditionalFormatting>
  <conditionalFormatting sqref="AL1:CH1">
    <cfRule type="duplicateValues" dxfId="0" priority="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85D9-3F53-491A-8D41-DC7D9B738A86}">
  <dimension ref="A1:C13"/>
  <sheetViews>
    <sheetView workbookViewId="0">
      <selection activeCell="J13" sqref="J13"/>
    </sheetView>
  </sheetViews>
  <sheetFormatPr defaultRowHeight="14.4" x14ac:dyDescent="0.3"/>
  <sheetData>
    <row r="1" spans="1:3" x14ac:dyDescent="0.3">
      <c r="A1" t="s">
        <v>185</v>
      </c>
      <c r="B1" t="s">
        <v>198</v>
      </c>
      <c r="C1" t="s">
        <v>86</v>
      </c>
    </row>
    <row r="2" spans="1:3" x14ac:dyDescent="0.3">
      <c r="A2" t="s">
        <v>188</v>
      </c>
      <c r="B2">
        <v>4.3899999999999997</v>
      </c>
      <c r="C2">
        <v>3.6</v>
      </c>
    </row>
    <row r="3" spans="1:3" x14ac:dyDescent="0.3">
      <c r="A3" t="s">
        <v>189</v>
      </c>
      <c r="B3">
        <v>3.81</v>
      </c>
      <c r="C3">
        <v>4.5999999999999996</v>
      </c>
    </row>
    <row r="4" spans="1:3" x14ac:dyDescent="0.3">
      <c r="A4" t="s">
        <v>190</v>
      </c>
      <c r="B4">
        <v>3.66</v>
      </c>
      <c r="C4">
        <v>6.1</v>
      </c>
    </row>
    <row r="5" spans="1:3" x14ac:dyDescent="0.3">
      <c r="A5" t="s">
        <v>191</v>
      </c>
      <c r="B5">
        <v>4.59</v>
      </c>
      <c r="C5">
        <v>7.4</v>
      </c>
    </row>
    <row r="6" spans="1:3" x14ac:dyDescent="0.3">
      <c r="A6" t="s">
        <v>192</v>
      </c>
      <c r="B6">
        <v>3.55</v>
      </c>
      <c r="C6">
        <v>11.2</v>
      </c>
    </row>
    <row r="7" spans="1:3" x14ac:dyDescent="0.3">
      <c r="A7" t="s">
        <v>193</v>
      </c>
      <c r="B7">
        <v>2.23</v>
      </c>
      <c r="C7">
        <v>14.3</v>
      </c>
    </row>
    <row r="8" spans="1:3" x14ac:dyDescent="0.3">
      <c r="A8" t="s">
        <v>194</v>
      </c>
      <c r="B8">
        <v>1.71</v>
      </c>
      <c r="C8">
        <v>17.2</v>
      </c>
    </row>
    <row r="9" spans="1:3" x14ac:dyDescent="0.3">
      <c r="A9" t="s">
        <v>195</v>
      </c>
      <c r="B9">
        <v>1.9</v>
      </c>
      <c r="C9">
        <v>17.5</v>
      </c>
    </row>
    <row r="10" spans="1:3" x14ac:dyDescent="0.3">
      <c r="A10" t="s">
        <v>196</v>
      </c>
      <c r="B10">
        <v>2.09</v>
      </c>
      <c r="C10">
        <v>15</v>
      </c>
    </row>
    <row r="11" spans="1:3" x14ac:dyDescent="0.3">
      <c r="A11" t="s">
        <v>197</v>
      </c>
      <c r="B11">
        <v>3.98</v>
      </c>
      <c r="C11">
        <v>11.1</v>
      </c>
    </row>
    <row r="12" spans="1:3" x14ac:dyDescent="0.3">
      <c r="A12" t="s">
        <v>187</v>
      </c>
      <c r="B12">
        <v>4.95</v>
      </c>
      <c r="C12">
        <v>6.8</v>
      </c>
    </row>
    <row r="13" spans="1:3" x14ac:dyDescent="0.3">
      <c r="A13" t="s">
        <v>186</v>
      </c>
      <c r="B13">
        <v>4.42</v>
      </c>
      <c r="C13">
        <v>4.76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F5A2-3AD7-4CD0-813E-219D615B23B6}">
  <dimension ref="A1:AO424"/>
  <sheetViews>
    <sheetView zoomScale="55" zoomScaleNormal="55" workbookViewId="0">
      <selection activeCell="S30" sqref="S30"/>
    </sheetView>
  </sheetViews>
  <sheetFormatPr defaultRowHeight="14.4" x14ac:dyDescent="0.3"/>
  <sheetData>
    <row r="1" spans="1:41" x14ac:dyDescent="0.3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s="1"/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AB1" t="s">
        <v>178</v>
      </c>
      <c r="AC1" t="s">
        <v>179</v>
      </c>
      <c r="AD1" t="s">
        <v>180</v>
      </c>
      <c r="AF1" t="s">
        <v>184</v>
      </c>
      <c r="AG1" t="s">
        <v>183</v>
      </c>
      <c r="AJ1" t="s">
        <v>199</v>
      </c>
      <c r="AK1" t="s">
        <v>200</v>
      </c>
      <c r="AN1" t="s">
        <v>201</v>
      </c>
      <c r="AO1" t="s">
        <v>202</v>
      </c>
    </row>
    <row r="2" spans="1:41" x14ac:dyDescent="0.3">
      <c r="A2">
        <v>9</v>
      </c>
      <c r="B2">
        <v>9000</v>
      </c>
      <c r="C2">
        <v>1.984E-2</v>
      </c>
      <c r="D2">
        <v>0.21351999999999999</v>
      </c>
      <c r="E2">
        <v>310.32</v>
      </c>
      <c r="F2">
        <v>24.228999999999999</v>
      </c>
      <c r="G2">
        <v>-1.4999999999999999E-2</v>
      </c>
      <c r="H2">
        <v>469.12</v>
      </c>
      <c r="I2">
        <v>469.12</v>
      </c>
      <c r="J2">
        <v>1.3382000000000001</v>
      </c>
      <c r="S2">
        <v>9.3559999999999999</v>
      </c>
      <c r="T2">
        <v>9356</v>
      </c>
      <c r="U2">
        <v>36.39</v>
      </c>
      <c r="V2">
        <v>22.22</v>
      </c>
      <c r="W2">
        <v>2.423</v>
      </c>
      <c r="X2">
        <v>1.452</v>
      </c>
      <c r="AB2">
        <v>11640.323249999999</v>
      </c>
      <c r="AC2">
        <v>-4.0199999999999996</v>
      </c>
      <c r="AD2">
        <v>-2.99</v>
      </c>
      <c r="AF2">
        <v>10100.4</v>
      </c>
      <c r="AG2">
        <v>10.94957819</v>
      </c>
      <c r="AJ2">
        <v>9282.2000000000007</v>
      </c>
      <c r="AK2">
        <v>8.4690553745928341</v>
      </c>
      <c r="AN2">
        <v>9009.125</v>
      </c>
      <c r="AO2">
        <v>-6.9074514052899998</v>
      </c>
    </row>
    <row r="3" spans="1:41" x14ac:dyDescent="0.3">
      <c r="A3">
        <v>10</v>
      </c>
      <c r="B3">
        <v>10000</v>
      </c>
      <c r="C3">
        <v>1.9970000000000002E-2</v>
      </c>
      <c r="D3">
        <v>0.22162000000000001</v>
      </c>
      <c r="E3">
        <v>293.86</v>
      </c>
      <c r="F3">
        <v>24.228999999999999</v>
      </c>
      <c r="G3">
        <v>-1.7999999999999999E-2</v>
      </c>
      <c r="H3">
        <v>469.44</v>
      </c>
      <c r="I3">
        <v>469.44</v>
      </c>
      <c r="J3">
        <v>1.4845999999999999</v>
      </c>
      <c r="S3">
        <v>12.539</v>
      </c>
      <c r="T3">
        <v>12539</v>
      </c>
      <c r="U3">
        <v>40.43</v>
      </c>
      <c r="V3">
        <v>0</v>
      </c>
      <c r="W3">
        <v>2.0619999999999998</v>
      </c>
      <c r="X3">
        <v>1.6759999999999999</v>
      </c>
      <c r="AB3">
        <v>11660.680539999999</v>
      </c>
      <c r="AC3">
        <v>-4.1180000000000003</v>
      </c>
      <c r="AD3">
        <v>-3.1819999999999999</v>
      </c>
      <c r="AF3">
        <v>10918.6</v>
      </c>
      <c r="AG3">
        <v>9.2444523360000002</v>
      </c>
      <c r="AJ3">
        <v>10100.4</v>
      </c>
      <c r="AK3">
        <v>16</v>
      </c>
      <c r="AN3">
        <v>9022.4</v>
      </c>
      <c r="AO3">
        <v>-7.22466389528</v>
      </c>
    </row>
    <row r="4" spans="1:41" x14ac:dyDescent="0.3">
      <c r="A4">
        <v>11</v>
      </c>
      <c r="B4">
        <v>11000</v>
      </c>
      <c r="C4">
        <v>2.0070000000000001E-2</v>
      </c>
      <c r="D4">
        <v>0.22663</v>
      </c>
      <c r="E4">
        <v>277.45</v>
      </c>
      <c r="F4">
        <v>24.207000000000001</v>
      </c>
      <c r="G4">
        <v>-0.02</v>
      </c>
      <c r="H4">
        <v>467.92</v>
      </c>
      <c r="I4">
        <v>467.92</v>
      </c>
      <c r="J4">
        <v>1.5253000000000001</v>
      </c>
      <c r="S4">
        <v>14.988</v>
      </c>
      <c r="T4">
        <v>14988</v>
      </c>
      <c r="U4">
        <v>53.55</v>
      </c>
      <c r="V4">
        <v>38.64</v>
      </c>
      <c r="W4">
        <v>2.0979999999999999</v>
      </c>
      <c r="X4">
        <v>2.1440000000000001</v>
      </c>
      <c r="AB4">
        <v>11681.037829999999</v>
      </c>
      <c r="AC4">
        <v>-4.2089999999999996</v>
      </c>
      <c r="AD4">
        <v>-3.355</v>
      </c>
      <c r="AF4">
        <v>11736.8</v>
      </c>
      <c r="AG4">
        <v>10.427546230000001</v>
      </c>
      <c r="AJ4">
        <v>10918.6</v>
      </c>
      <c r="AK4">
        <v>23.309352517985612</v>
      </c>
      <c r="AN4">
        <v>9031.6875</v>
      </c>
      <c r="AO4">
        <v>-7.6452936233799997</v>
      </c>
    </row>
    <row r="5" spans="1:41" x14ac:dyDescent="0.3">
      <c r="A5">
        <v>12</v>
      </c>
      <c r="B5">
        <v>12000</v>
      </c>
      <c r="C5">
        <v>2.0140000000000002E-2</v>
      </c>
      <c r="D5">
        <v>0.22857</v>
      </c>
      <c r="E5">
        <v>261.07</v>
      </c>
      <c r="F5">
        <v>24.161000000000001</v>
      </c>
      <c r="G5">
        <v>-0.02</v>
      </c>
      <c r="H5">
        <v>464.67</v>
      </c>
      <c r="I5">
        <v>464.67</v>
      </c>
      <c r="J5">
        <v>1.4573</v>
      </c>
      <c r="S5">
        <v>15.968999999999999</v>
      </c>
      <c r="T5">
        <v>15969</v>
      </c>
      <c r="U5">
        <v>61.94</v>
      </c>
      <c r="V5">
        <v>9.68</v>
      </c>
      <c r="W5">
        <v>1.9710000000000001</v>
      </c>
      <c r="X5">
        <v>1.976</v>
      </c>
      <c r="AB5">
        <v>11701.395119999999</v>
      </c>
      <c r="AC5">
        <v>-4.415</v>
      </c>
      <c r="AD5">
        <v>-4.0229999999999997</v>
      </c>
      <c r="AF5">
        <v>12555</v>
      </c>
      <c r="AG5">
        <v>10.462965479999999</v>
      </c>
      <c r="AJ5">
        <v>11736.8</v>
      </c>
      <c r="AK5">
        <v>19.277108433734941</v>
      </c>
      <c r="AN5">
        <v>9041</v>
      </c>
      <c r="AO5">
        <v>-7.7815259466600004</v>
      </c>
    </row>
    <row r="6" spans="1:41" x14ac:dyDescent="0.3">
      <c r="A6">
        <v>13</v>
      </c>
      <c r="B6">
        <v>13000</v>
      </c>
      <c r="C6">
        <v>2.018E-2</v>
      </c>
      <c r="D6">
        <v>0.22731000000000001</v>
      </c>
      <c r="E6">
        <v>244.71</v>
      </c>
      <c r="F6">
        <v>24.093</v>
      </c>
      <c r="G6">
        <v>-1.7999999999999999E-2</v>
      </c>
      <c r="H6">
        <v>459.95</v>
      </c>
      <c r="I6">
        <v>459.95</v>
      </c>
      <c r="J6">
        <v>1.2750999999999999</v>
      </c>
      <c r="S6">
        <v>16.53</v>
      </c>
      <c r="T6">
        <v>16530</v>
      </c>
      <c r="U6">
        <v>60.49</v>
      </c>
      <c r="V6">
        <v>18.18</v>
      </c>
      <c r="W6">
        <v>1.93</v>
      </c>
      <c r="X6">
        <v>2.262</v>
      </c>
      <c r="AB6">
        <v>11721.752409999999</v>
      </c>
      <c r="AC6">
        <v>-4.1989999999999998</v>
      </c>
      <c r="AD6">
        <v>-4.16</v>
      </c>
      <c r="AF6">
        <v>13373.2</v>
      </c>
      <c r="AG6">
        <v>10.480458540000001</v>
      </c>
      <c r="AJ6">
        <v>12555</v>
      </c>
      <c r="AK6">
        <v>16.292974588938712</v>
      </c>
      <c r="AN6">
        <v>9055.625</v>
      </c>
      <c r="AO6">
        <v>-7.0804763998300002</v>
      </c>
    </row>
    <row r="7" spans="1:41" x14ac:dyDescent="0.3">
      <c r="A7">
        <v>14</v>
      </c>
      <c r="B7">
        <v>14000</v>
      </c>
      <c r="C7">
        <v>2.018E-2</v>
      </c>
      <c r="D7">
        <v>0.22278000000000001</v>
      </c>
      <c r="E7">
        <v>228.37</v>
      </c>
      <c r="F7">
        <v>24.004000000000001</v>
      </c>
      <c r="G7">
        <v>-1.4999999999999999E-2</v>
      </c>
      <c r="H7">
        <v>454.12</v>
      </c>
      <c r="I7">
        <v>454.12</v>
      </c>
      <c r="J7">
        <v>0.99429999999999996</v>
      </c>
      <c r="S7">
        <v>17.09</v>
      </c>
      <c r="T7">
        <v>17090</v>
      </c>
      <c r="U7">
        <v>56.97</v>
      </c>
      <c r="V7">
        <v>17.78</v>
      </c>
      <c r="W7">
        <v>2.1459999999999999</v>
      </c>
      <c r="X7">
        <v>2.2789999999999999</v>
      </c>
      <c r="AB7">
        <v>11742.109700000001</v>
      </c>
      <c r="AC7">
        <v>-3.95</v>
      </c>
      <c r="AD7">
        <v>-6.54</v>
      </c>
      <c r="AF7">
        <v>14191.4</v>
      </c>
      <c r="AG7">
        <v>9.0286277150000007</v>
      </c>
      <c r="AJ7">
        <v>13373.2</v>
      </c>
      <c r="AK7">
        <v>15.304606240713225</v>
      </c>
      <c r="AN7">
        <v>9068</v>
      </c>
      <c r="AO7">
        <v>-7.1679832936199999</v>
      </c>
    </row>
    <row r="8" spans="1:41" x14ac:dyDescent="0.3">
      <c r="A8">
        <v>15</v>
      </c>
      <c r="B8">
        <v>15000</v>
      </c>
      <c r="C8">
        <v>2.0150000000000001E-2</v>
      </c>
      <c r="D8">
        <v>0.21535000000000001</v>
      </c>
      <c r="E8">
        <v>212.04</v>
      </c>
      <c r="F8">
        <v>23.895</v>
      </c>
      <c r="G8">
        <v>-1.0999999999999999E-2</v>
      </c>
      <c r="H8">
        <v>447.62</v>
      </c>
      <c r="I8">
        <v>447.62</v>
      </c>
      <c r="J8">
        <v>0.62549999999999994</v>
      </c>
      <c r="S8">
        <v>17.651</v>
      </c>
      <c r="T8">
        <v>17651</v>
      </c>
      <c r="U8">
        <v>70.680000000000007</v>
      </c>
      <c r="V8">
        <v>15</v>
      </c>
      <c r="W8">
        <v>2.6230000000000002</v>
      </c>
      <c r="X8">
        <v>2.427</v>
      </c>
      <c r="AB8">
        <v>11762.466990000001</v>
      </c>
      <c r="AC8">
        <v>-3.8260000000000001</v>
      </c>
      <c r="AD8">
        <v>-6.9889999999999999</v>
      </c>
      <c r="AF8">
        <v>15009.6</v>
      </c>
      <c r="AG8">
        <v>9.3923958380000006</v>
      </c>
      <c r="AJ8">
        <v>14191.4</v>
      </c>
      <c r="AK8">
        <v>25.108853410740199</v>
      </c>
      <c r="AN8">
        <v>9078.625</v>
      </c>
      <c r="AO8">
        <v>-7.3156511768900003</v>
      </c>
    </row>
    <row r="9" spans="1:41" x14ac:dyDescent="0.3">
      <c r="A9">
        <v>16</v>
      </c>
      <c r="B9">
        <v>16000</v>
      </c>
      <c r="C9">
        <v>2.01E-2</v>
      </c>
      <c r="D9">
        <v>0.20474000000000001</v>
      </c>
      <c r="E9">
        <v>195.71</v>
      </c>
      <c r="F9">
        <v>23.768999999999998</v>
      </c>
      <c r="G9">
        <v>-5.0000000000000001E-3</v>
      </c>
      <c r="H9">
        <v>440.92</v>
      </c>
      <c r="I9">
        <v>440.92</v>
      </c>
      <c r="J9">
        <v>0.19059999999999999</v>
      </c>
      <c r="S9">
        <v>18.553999999999998</v>
      </c>
      <c r="T9">
        <v>18554</v>
      </c>
      <c r="U9">
        <v>70.23</v>
      </c>
      <c r="V9">
        <v>14.29</v>
      </c>
      <c r="W9">
        <v>2.7469999999999999</v>
      </c>
      <c r="X9">
        <v>2.0960000000000001</v>
      </c>
      <c r="AB9">
        <v>11782.824280000001</v>
      </c>
      <c r="AC9">
        <v>-4.1680000000000001</v>
      </c>
      <c r="AD9">
        <v>-4.444</v>
      </c>
      <c r="AF9">
        <v>15827.8</v>
      </c>
      <c r="AG9">
        <v>9.4576072969999991</v>
      </c>
      <c r="AJ9">
        <v>15009.6</v>
      </c>
      <c r="AK9">
        <v>23.64457831325301</v>
      </c>
      <c r="AN9">
        <v>9090</v>
      </c>
      <c r="AO9">
        <v>-7.6234168999299996</v>
      </c>
    </row>
    <row r="10" spans="1:41" x14ac:dyDescent="0.3">
      <c r="A10">
        <v>17</v>
      </c>
      <c r="B10">
        <v>17000</v>
      </c>
      <c r="C10">
        <v>2.001E-2</v>
      </c>
      <c r="D10">
        <v>0.19103999999999999</v>
      </c>
      <c r="E10">
        <v>179.38</v>
      </c>
      <c r="F10">
        <v>23.626999999999999</v>
      </c>
      <c r="G10">
        <v>0</v>
      </c>
      <c r="H10">
        <v>434.5</v>
      </c>
      <c r="I10">
        <v>434.5</v>
      </c>
      <c r="J10">
        <v>-0.28770000000000001</v>
      </c>
      <c r="S10">
        <v>19.306000000000001</v>
      </c>
      <c r="T10">
        <v>19306</v>
      </c>
      <c r="U10">
        <v>78.62</v>
      </c>
      <c r="V10">
        <v>0</v>
      </c>
      <c r="W10">
        <v>2.6579999999999999</v>
      </c>
      <c r="X10">
        <v>2.33</v>
      </c>
      <c r="AB10">
        <v>11803.18158</v>
      </c>
      <c r="AC10">
        <v>-4.2670000000000003</v>
      </c>
      <c r="AD10">
        <v>-6.0519999999999996</v>
      </c>
      <c r="AF10">
        <v>16646</v>
      </c>
      <c r="AG10">
        <v>9.8925703190000007</v>
      </c>
      <c r="AJ10">
        <v>15827.8</v>
      </c>
      <c r="AK10">
        <v>19.913419913419915</v>
      </c>
      <c r="AN10">
        <v>9103.6666666700003</v>
      </c>
      <c r="AO10">
        <v>-7.0078854538500002</v>
      </c>
    </row>
    <row r="11" spans="1:41" x14ac:dyDescent="0.3">
      <c r="A11">
        <v>18</v>
      </c>
      <c r="B11">
        <v>18000</v>
      </c>
      <c r="C11">
        <v>1.9900000000000001E-2</v>
      </c>
      <c r="D11">
        <v>0.17444999999999999</v>
      </c>
      <c r="E11">
        <v>163.04</v>
      </c>
      <c r="F11">
        <v>23.475000000000001</v>
      </c>
      <c r="G11">
        <v>6.0000000000000001E-3</v>
      </c>
      <c r="H11">
        <v>428.77</v>
      </c>
      <c r="I11">
        <v>428.77</v>
      </c>
      <c r="J11">
        <v>-0.78120000000000001</v>
      </c>
      <c r="S11">
        <v>20.058</v>
      </c>
      <c r="T11">
        <v>20058</v>
      </c>
      <c r="U11">
        <v>88.01</v>
      </c>
      <c r="V11">
        <v>0</v>
      </c>
      <c r="W11">
        <v>2.722</v>
      </c>
      <c r="X11">
        <v>2.4769999999999999</v>
      </c>
      <c r="AB11">
        <v>11823.53887</v>
      </c>
      <c r="AC11">
        <v>-4.2329999999999997</v>
      </c>
      <c r="AD11">
        <v>-4.8920000000000003</v>
      </c>
      <c r="AF11">
        <v>16691.25</v>
      </c>
      <c r="AG11">
        <v>9.9056752059999997</v>
      </c>
      <c r="AJ11">
        <v>16646</v>
      </c>
      <c r="AK11">
        <v>19.099378881987576</v>
      </c>
      <c r="AN11">
        <v>9111.9090909099996</v>
      </c>
      <c r="AO11">
        <v>-7.7328005171600003</v>
      </c>
    </row>
    <row r="12" spans="1:41" x14ac:dyDescent="0.3">
      <c r="A12">
        <v>19</v>
      </c>
      <c r="B12">
        <v>19000</v>
      </c>
      <c r="C12">
        <v>1.976E-2</v>
      </c>
      <c r="D12">
        <v>0.15495999999999999</v>
      </c>
      <c r="E12">
        <v>146.69</v>
      </c>
      <c r="F12">
        <v>23.315000000000001</v>
      </c>
      <c r="G12">
        <v>1.0999999999999999E-2</v>
      </c>
      <c r="H12">
        <v>424.07</v>
      </c>
      <c r="I12">
        <v>424.07</v>
      </c>
      <c r="J12">
        <v>-1.2695000000000001</v>
      </c>
      <c r="S12">
        <v>20.81</v>
      </c>
      <c r="T12">
        <v>20810</v>
      </c>
      <c r="U12">
        <v>36.479999999999997</v>
      </c>
      <c r="V12">
        <v>13.33</v>
      </c>
      <c r="W12">
        <v>2.806</v>
      </c>
      <c r="X12">
        <v>2.6280000000000001</v>
      </c>
      <c r="AB12">
        <v>11843.89616</v>
      </c>
      <c r="AC12">
        <v>-3.88</v>
      </c>
      <c r="AD12">
        <v>-4.9000000000000004</v>
      </c>
      <c r="AF12">
        <v>16736.5</v>
      </c>
      <c r="AG12">
        <v>9.4613815339999991</v>
      </c>
      <c r="AJ12">
        <v>16691.25</v>
      </c>
      <c r="AK12">
        <v>17.391304347826086</v>
      </c>
      <c r="AN12">
        <v>9125.1538461500004</v>
      </c>
      <c r="AO12">
        <v>-7.69700224243</v>
      </c>
    </row>
    <row r="13" spans="1:41" x14ac:dyDescent="0.3">
      <c r="A13">
        <v>20</v>
      </c>
      <c r="B13">
        <v>20000</v>
      </c>
      <c r="C13">
        <v>1.959E-2</v>
      </c>
      <c r="D13">
        <v>0.13258</v>
      </c>
      <c r="E13">
        <v>130.34</v>
      </c>
      <c r="F13">
        <v>23.151</v>
      </c>
      <c r="G13">
        <v>1.4999999999999999E-2</v>
      </c>
      <c r="H13">
        <v>420.64</v>
      </c>
      <c r="I13">
        <v>420.64</v>
      </c>
      <c r="J13">
        <v>-1.7255</v>
      </c>
      <c r="S13">
        <v>21.312999999999999</v>
      </c>
      <c r="T13">
        <v>21313</v>
      </c>
      <c r="U13">
        <v>32.04</v>
      </c>
      <c r="V13">
        <v>33.33</v>
      </c>
      <c r="W13">
        <v>3.121</v>
      </c>
      <c r="X13">
        <v>2.8039999999999998</v>
      </c>
      <c r="AB13">
        <v>11864.25345</v>
      </c>
      <c r="AC13">
        <v>-4.3710000000000004</v>
      </c>
      <c r="AD13">
        <v>-4.5949999999999998</v>
      </c>
      <c r="AF13">
        <v>16781.75</v>
      </c>
      <c r="AG13">
        <v>9.7099192490000004</v>
      </c>
      <c r="AJ13">
        <v>16736.5</v>
      </c>
      <c r="AK13">
        <v>19.751166407465007</v>
      </c>
      <c r="AN13">
        <v>9132.1111111099999</v>
      </c>
      <c r="AO13">
        <v>-7.4364703541099999</v>
      </c>
    </row>
    <row r="14" spans="1:41" x14ac:dyDescent="0.3">
      <c r="A14">
        <v>21</v>
      </c>
      <c r="B14">
        <v>21000</v>
      </c>
      <c r="C14">
        <v>1.9400000000000001E-2</v>
      </c>
      <c r="D14">
        <v>0.1075</v>
      </c>
      <c r="E14">
        <v>113.98</v>
      </c>
      <c r="F14">
        <v>22.989000000000001</v>
      </c>
      <c r="G14">
        <v>1.7999999999999999E-2</v>
      </c>
      <c r="H14">
        <v>418.62</v>
      </c>
      <c r="I14">
        <v>418.62</v>
      </c>
      <c r="J14">
        <v>-2.133</v>
      </c>
      <c r="S14">
        <v>21.648</v>
      </c>
      <c r="T14">
        <v>21648</v>
      </c>
      <c r="U14">
        <v>33.22</v>
      </c>
      <c r="V14">
        <v>10</v>
      </c>
      <c r="W14">
        <v>2.71</v>
      </c>
      <c r="X14">
        <v>2.786</v>
      </c>
      <c r="AB14">
        <v>11884.61074</v>
      </c>
      <c r="AC14">
        <v>-4.2919999999999998</v>
      </c>
      <c r="AD14">
        <v>-5.8109999999999999</v>
      </c>
      <c r="AF14">
        <v>16827</v>
      </c>
      <c r="AG14">
        <v>8.8762313549999998</v>
      </c>
      <c r="AJ14">
        <v>16781.75</v>
      </c>
      <c r="AK14">
        <v>15.577889447236181</v>
      </c>
      <c r="AN14">
        <v>9141.2999999999993</v>
      </c>
      <c r="AO14">
        <v>-7.7904755153399998</v>
      </c>
    </row>
    <row r="15" spans="1:41" x14ac:dyDescent="0.3">
      <c r="A15">
        <v>22</v>
      </c>
      <c r="B15">
        <v>22000</v>
      </c>
      <c r="C15">
        <v>1.9179999999999999E-2</v>
      </c>
      <c r="D15">
        <v>7.9810000000000006E-2</v>
      </c>
      <c r="E15">
        <v>97.61</v>
      </c>
      <c r="F15">
        <v>22.832000000000001</v>
      </c>
      <c r="G15">
        <v>1.9E-2</v>
      </c>
      <c r="H15">
        <v>418</v>
      </c>
      <c r="I15">
        <v>418</v>
      </c>
      <c r="J15">
        <v>-2.4687999999999999</v>
      </c>
      <c r="S15">
        <v>22.484999999999999</v>
      </c>
      <c r="T15">
        <v>22485</v>
      </c>
      <c r="U15">
        <v>31.17</v>
      </c>
      <c r="V15">
        <v>10</v>
      </c>
      <c r="W15">
        <v>2.5270000000000001</v>
      </c>
      <c r="X15">
        <v>2.8540000000000001</v>
      </c>
      <c r="AB15">
        <v>11904.96803</v>
      </c>
      <c r="AC15">
        <v>-4.0110000000000001</v>
      </c>
      <c r="AD15">
        <v>-5.8070000000000004</v>
      </c>
      <c r="AF15">
        <v>17952.5</v>
      </c>
      <c r="AG15">
        <v>8.0670696050000004</v>
      </c>
      <c r="AJ15">
        <v>16827</v>
      </c>
      <c r="AK15">
        <v>0</v>
      </c>
      <c r="AN15">
        <v>9152.3333333299997</v>
      </c>
      <c r="AO15">
        <v>-7.0963867441500001</v>
      </c>
    </row>
    <row r="16" spans="1:41" x14ac:dyDescent="0.3">
      <c r="A16">
        <v>23</v>
      </c>
      <c r="B16">
        <v>23000</v>
      </c>
      <c r="C16">
        <v>1.8950000000000002E-2</v>
      </c>
      <c r="D16">
        <v>4.9520000000000002E-2</v>
      </c>
      <c r="E16">
        <v>81.260000000000005</v>
      </c>
      <c r="F16">
        <v>22.684999999999999</v>
      </c>
      <c r="G16">
        <v>1.9E-2</v>
      </c>
      <c r="H16">
        <v>418.7</v>
      </c>
      <c r="I16">
        <v>418.7</v>
      </c>
      <c r="J16">
        <v>-2.7233000000000001</v>
      </c>
      <c r="S16">
        <v>22.779</v>
      </c>
      <c r="T16">
        <v>22779</v>
      </c>
      <c r="U16">
        <v>82.22</v>
      </c>
      <c r="V16">
        <v>0</v>
      </c>
      <c r="W16">
        <v>3.198</v>
      </c>
      <c r="X16">
        <v>3.274</v>
      </c>
      <c r="AB16">
        <v>11925.32532</v>
      </c>
      <c r="AC16">
        <v>-4.34</v>
      </c>
      <c r="AD16">
        <v>-5.4329999999999998</v>
      </c>
      <c r="AF16">
        <v>19078</v>
      </c>
      <c r="AG16">
        <v>7.0010956870000003</v>
      </c>
      <c r="AJ16">
        <v>17952.5</v>
      </c>
      <c r="AK16">
        <v>10</v>
      </c>
      <c r="AN16">
        <v>9160.1111111099999</v>
      </c>
      <c r="AO16">
        <v>-8.0609513688700005</v>
      </c>
    </row>
    <row r="17" spans="1:41" x14ac:dyDescent="0.3">
      <c r="A17">
        <v>24</v>
      </c>
      <c r="B17">
        <v>24000</v>
      </c>
      <c r="C17">
        <v>1.8689999999999998E-2</v>
      </c>
      <c r="D17">
        <v>1.6910000000000001E-2</v>
      </c>
      <c r="E17">
        <v>64.91</v>
      </c>
      <c r="F17">
        <v>22.553000000000001</v>
      </c>
      <c r="G17">
        <v>1.7000000000000001E-2</v>
      </c>
      <c r="H17">
        <v>420.51</v>
      </c>
      <c r="I17">
        <v>420.51</v>
      </c>
      <c r="J17">
        <v>-2.8828</v>
      </c>
      <c r="S17">
        <v>23.17</v>
      </c>
      <c r="T17">
        <v>23170</v>
      </c>
      <c r="U17">
        <v>86.26</v>
      </c>
      <c r="V17">
        <v>0</v>
      </c>
      <c r="W17">
        <v>2.8889999999999998</v>
      </c>
      <c r="X17">
        <v>2.1629999999999998</v>
      </c>
      <c r="AB17">
        <v>11945.68261</v>
      </c>
      <c r="AC17">
        <v>-4.1900000000000004</v>
      </c>
      <c r="AD17">
        <v>-5.14</v>
      </c>
      <c r="AF17">
        <v>20203.5</v>
      </c>
      <c r="AG17">
        <v>6.6201851090000003</v>
      </c>
      <c r="AJ17">
        <v>19078</v>
      </c>
      <c r="AK17">
        <v>7.2727272727272725</v>
      </c>
      <c r="AN17">
        <v>9172.6153846199995</v>
      </c>
      <c r="AO17">
        <v>-7.4861901801200004</v>
      </c>
    </row>
    <row r="18" spans="1:41" x14ac:dyDescent="0.3">
      <c r="A18">
        <v>25</v>
      </c>
      <c r="B18">
        <v>25000</v>
      </c>
      <c r="C18">
        <v>1.8419999999999999E-2</v>
      </c>
      <c r="D18">
        <v>1.7909999999999999E-2</v>
      </c>
      <c r="E18">
        <v>48.6</v>
      </c>
      <c r="F18">
        <v>22.439</v>
      </c>
      <c r="G18">
        <v>1.4E-2</v>
      </c>
      <c r="H18">
        <v>423.19</v>
      </c>
      <c r="I18">
        <v>423.19</v>
      </c>
      <c r="J18">
        <v>-2.9481999999999999</v>
      </c>
      <c r="S18">
        <v>23.855</v>
      </c>
      <c r="T18">
        <v>23855</v>
      </c>
      <c r="U18">
        <v>90.94</v>
      </c>
      <c r="V18">
        <v>0</v>
      </c>
      <c r="X18">
        <v>3.262</v>
      </c>
      <c r="AB18">
        <v>11966.0399</v>
      </c>
      <c r="AC18">
        <v>-4.1619999999999999</v>
      </c>
      <c r="AD18">
        <v>-5.415</v>
      </c>
      <c r="AF18">
        <v>21329</v>
      </c>
      <c r="AG18">
        <v>8.8777865249999994</v>
      </c>
      <c r="AJ18">
        <v>20203.5</v>
      </c>
      <c r="AK18">
        <v>9.0289608177172056</v>
      </c>
      <c r="AN18">
        <v>9186.875</v>
      </c>
      <c r="AO18">
        <v>-7.2415686361200002</v>
      </c>
    </row>
    <row r="19" spans="1:41" x14ac:dyDescent="0.3">
      <c r="A19">
        <v>26</v>
      </c>
      <c r="B19">
        <v>26000</v>
      </c>
      <c r="C19">
        <v>1.814E-2</v>
      </c>
      <c r="D19">
        <v>5.4859999999999999E-2</v>
      </c>
      <c r="E19">
        <v>32.33</v>
      </c>
      <c r="F19">
        <v>22.347999999999999</v>
      </c>
      <c r="G19">
        <v>0.01</v>
      </c>
      <c r="H19">
        <v>426.41</v>
      </c>
      <c r="I19">
        <v>426.41</v>
      </c>
      <c r="J19">
        <v>-2.9222999999999999</v>
      </c>
      <c r="S19">
        <v>27.7</v>
      </c>
      <c r="T19">
        <v>27700</v>
      </c>
      <c r="U19">
        <v>30.22</v>
      </c>
      <c r="V19">
        <v>14.95</v>
      </c>
      <c r="W19">
        <v>2.452</v>
      </c>
      <c r="X19">
        <v>2.6019999999999999</v>
      </c>
      <c r="AB19">
        <v>11986.39719</v>
      </c>
      <c r="AC19">
        <v>-4.1790000000000003</v>
      </c>
      <c r="AD19">
        <v>-5.0540000000000003</v>
      </c>
      <c r="AF19">
        <v>22454.5</v>
      </c>
      <c r="AG19">
        <v>9.3417198859999999</v>
      </c>
      <c r="AJ19">
        <v>21329</v>
      </c>
      <c r="AK19">
        <v>3.4662045060658579</v>
      </c>
      <c r="AN19">
        <v>9198.8888888900001</v>
      </c>
      <c r="AO19">
        <v>-7.8352233587600004</v>
      </c>
    </row>
    <row r="20" spans="1:41" x14ac:dyDescent="0.3">
      <c r="A20">
        <v>27</v>
      </c>
      <c r="B20">
        <v>27000</v>
      </c>
      <c r="C20">
        <v>1.7840000000000002E-2</v>
      </c>
      <c r="D20">
        <v>9.3640000000000001E-2</v>
      </c>
      <c r="E20">
        <v>16.13</v>
      </c>
      <c r="F20">
        <v>22.282</v>
      </c>
      <c r="G20">
        <v>5.0000000000000001E-3</v>
      </c>
      <c r="H20">
        <v>429.86</v>
      </c>
      <c r="I20">
        <v>429.86</v>
      </c>
      <c r="J20">
        <v>-2.8214000000000001</v>
      </c>
      <c r="AB20">
        <v>12006.75448</v>
      </c>
      <c r="AC20">
        <v>-4.3239999999999998</v>
      </c>
      <c r="AD20">
        <v>-4.7530000000000001</v>
      </c>
      <c r="AF20">
        <v>23580</v>
      </c>
      <c r="AG20">
        <v>8.1955519649999999</v>
      </c>
      <c r="AJ20">
        <v>22454.5</v>
      </c>
      <c r="AK20">
        <v>5.7692307692307692</v>
      </c>
      <c r="AN20">
        <v>9218</v>
      </c>
      <c r="AO20">
        <v>-7.0277733842499996</v>
      </c>
    </row>
    <row r="21" spans="1:41" x14ac:dyDescent="0.3">
      <c r="A21">
        <v>28</v>
      </c>
      <c r="B21">
        <v>28000</v>
      </c>
      <c r="C21">
        <v>1.753E-2</v>
      </c>
      <c r="D21">
        <v>0.13406000000000001</v>
      </c>
      <c r="E21">
        <v>0</v>
      </c>
      <c r="F21">
        <v>22.244</v>
      </c>
      <c r="G21">
        <v>0</v>
      </c>
      <c r="H21">
        <v>433.2</v>
      </c>
      <c r="I21">
        <v>433.2</v>
      </c>
      <c r="J21">
        <v>-2.6617000000000002</v>
      </c>
      <c r="AB21">
        <v>12027.11177</v>
      </c>
      <c r="AC21">
        <v>-4.3840000000000003</v>
      </c>
      <c r="AD21">
        <v>-6.14</v>
      </c>
      <c r="AF21">
        <v>23911.27</v>
      </c>
      <c r="AG21">
        <v>7.3663564680000002</v>
      </c>
      <c r="AJ21">
        <v>23580</v>
      </c>
      <c r="AK21">
        <v>10.161290322580644</v>
      </c>
      <c r="AN21">
        <v>9230.5333333300005</v>
      </c>
      <c r="AO21">
        <v>-7.8083746527100004</v>
      </c>
    </row>
    <row r="22" spans="1:41" x14ac:dyDescent="0.3">
      <c r="A22">
        <v>29</v>
      </c>
      <c r="B22">
        <v>29000</v>
      </c>
      <c r="C22">
        <v>1.7219999999999999E-2</v>
      </c>
      <c r="D22">
        <v>0.17593</v>
      </c>
      <c r="E22">
        <v>343.99</v>
      </c>
      <c r="F22">
        <v>22.234999999999999</v>
      </c>
      <c r="G22">
        <v>-5.0000000000000001E-3</v>
      </c>
      <c r="H22">
        <v>436.19</v>
      </c>
      <c r="I22">
        <v>436.19</v>
      </c>
      <c r="J22">
        <v>-2.4681999999999999</v>
      </c>
      <c r="AB22">
        <v>12047.469059999999</v>
      </c>
      <c r="AC22">
        <v>-4.59</v>
      </c>
      <c r="AD22">
        <v>-5.61</v>
      </c>
      <c r="AF22">
        <v>24242.54</v>
      </c>
      <c r="AG22">
        <v>7.1954146369999998</v>
      </c>
      <c r="AJ22">
        <v>23911.27</v>
      </c>
      <c r="AK22">
        <v>7.8073089700996672</v>
      </c>
      <c r="AN22">
        <v>9237.7647058799994</v>
      </c>
      <c r="AO22">
        <v>-7.5492196459100001</v>
      </c>
    </row>
    <row r="23" spans="1:41" x14ac:dyDescent="0.3">
      <c r="A23">
        <v>30</v>
      </c>
      <c r="B23">
        <v>30000</v>
      </c>
      <c r="C23">
        <v>1.6899999999999998E-2</v>
      </c>
      <c r="D23">
        <v>0.21895000000000001</v>
      </c>
      <c r="E23">
        <v>328.11</v>
      </c>
      <c r="F23">
        <v>22.254999999999999</v>
      </c>
      <c r="G23">
        <v>-8.9999999999999993E-3</v>
      </c>
      <c r="H23">
        <v>438.63</v>
      </c>
      <c r="I23">
        <v>438.63</v>
      </c>
      <c r="J23">
        <v>-2.2595000000000001</v>
      </c>
      <c r="AB23">
        <v>12067.826349999999</v>
      </c>
      <c r="AC23">
        <v>-4.2850000000000001</v>
      </c>
      <c r="AD23">
        <v>-6.4989999999999997</v>
      </c>
      <c r="AF23">
        <v>24573.82</v>
      </c>
      <c r="AG23">
        <v>6.697936071</v>
      </c>
      <c r="AJ23">
        <v>24242.54</v>
      </c>
      <c r="AK23">
        <v>5.0713153724247224</v>
      </c>
      <c r="AN23">
        <v>9244.1764705900005</v>
      </c>
      <c r="AO23">
        <v>-7.6855952221499999</v>
      </c>
    </row>
    <row r="24" spans="1:41" x14ac:dyDescent="0.3">
      <c r="AB24">
        <v>12088.183639999999</v>
      </c>
      <c r="AC24">
        <v>-4.1100000000000003</v>
      </c>
      <c r="AD24">
        <v>-6.3339999999999996</v>
      </c>
      <c r="AF24">
        <v>24905.09</v>
      </c>
      <c r="AG24">
        <v>6.3572825780000004</v>
      </c>
      <c r="AJ24">
        <v>24573.82</v>
      </c>
      <c r="AK24">
        <v>4.6251993620414673</v>
      </c>
      <c r="AN24">
        <v>9250.1111111099999</v>
      </c>
      <c r="AO24">
        <v>-8.1371832108700008</v>
      </c>
    </row>
    <row r="25" spans="1:41" x14ac:dyDescent="0.3">
      <c r="AB25">
        <v>12108.540929999999</v>
      </c>
      <c r="AC25">
        <v>-4.298</v>
      </c>
      <c r="AD25">
        <v>-7.1890000000000001</v>
      </c>
      <c r="AF25">
        <v>25070.73</v>
      </c>
      <c r="AG25">
        <v>6.2240884220000003</v>
      </c>
      <c r="AJ25">
        <v>24905.09</v>
      </c>
      <c r="AK25">
        <v>4.8513302034428794</v>
      </c>
      <c r="AN25">
        <v>9260</v>
      </c>
      <c r="AO25">
        <v>-8.0872287873400008</v>
      </c>
    </row>
    <row r="26" spans="1:41" x14ac:dyDescent="0.3">
      <c r="AB26">
        <v>12128.898219999999</v>
      </c>
      <c r="AC26">
        <v>-4.1929999999999996</v>
      </c>
      <c r="AD26">
        <v>-4.9880000000000004</v>
      </c>
      <c r="AJ26">
        <v>25070.73</v>
      </c>
      <c r="AK26">
        <v>4.3327556325823222</v>
      </c>
      <c r="AN26">
        <v>9271.5</v>
      </c>
      <c r="AO26">
        <v>-8.3519872320499999</v>
      </c>
    </row>
    <row r="27" spans="1:41" x14ac:dyDescent="0.3">
      <c r="AB27">
        <v>12149.255510000001</v>
      </c>
      <c r="AC27">
        <v>-4.3</v>
      </c>
      <c r="AD27">
        <v>-6.19</v>
      </c>
      <c r="AJ27">
        <v>26041.67</v>
      </c>
      <c r="AK27">
        <v>5.9210526315789469</v>
      </c>
      <c r="AN27">
        <v>9285.4545454500003</v>
      </c>
      <c r="AO27">
        <v>-7.6126617637900003</v>
      </c>
    </row>
    <row r="28" spans="1:41" x14ac:dyDescent="0.3">
      <c r="AB28">
        <v>12169.612800000001</v>
      </c>
      <c r="AC28">
        <v>-4.2329999999999997</v>
      </c>
      <c r="AD28">
        <v>-5.4850000000000003</v>
      </c>
      <c r="AJ28">
        <v>27321</v>
      </c>
      <c r="AK28">
        <v>4.6263345195729535</v>
      </c>
      <c r="AN28">
        <v>9301.9375</v>
      </c>
      <c r="AO28">
        <v>-7.0411831586</v>
      </c>
    </row>
    <row r="29" spans="1:41" x14ac:dyDescent="0.3">
      <c r="AB29">
        <v>12189.970090000001</v>
      </c>
      <c r="AC29">
        <v>-4.4349999999999996</v>
      </c>
      <c r="AD29">
        <v>-4.8470000000000004</v>
      </c>
      <c r="AN29">
        <v>9313.6666666700003</v>
      </c>
      <c r="AO29">
        <v>-7.5432251150800003</v>
      </c>
    </row>
    <row r="30" spans="1:41" x14ac:dyDescent="0.3">
      <c r="AB30">
        <v>12210.327380000001</v>
      </c>
      <c r="AC30">
        <v>-4.218</v>
      </c>
      <c r="AD30">
        <v>-6.4969999999999999</v>
      </c>
      <c r="AN30">
        <v>9320.9285714300004</v>
      </c>
      <c r="AO30">
        <v>-8.0492634254599995</v>
      </c>
    </row>
    <row r="31" spans="1:41" x14ac:dyDescent="0.3">
      <c r="AB31">
        <v>12230.684670000001</v>
      </c>
      <c r="AC31">
        <v>-4.069</v>
      </c>
      <c r="AD31">
        <v>-5.1470000000000002</v>
      </c>
      <c r="AN31">
        <v>9327.7647058799994</v>
      </c>
      <c r="AO31">
        <v>-7.7325523802699996</v>
      </c>
    </row>
    <row r="32" spans="1:41" x14ac:dyDescent="0.3">
      <c r="AB32">
        <v>12454.614869999999</v>
      </c>
      <c r="AC32">
        <v>-4.26</v>
      </c>
      <c r="AD32">
        <v>-4.8</v>
      </c>
      <c r="AN32">
        <v>9336.2000000000007</v>
      </c>
      <c r="AO32">
        <v>-7.9428605033300004</v>
      </c>
    </row>
    <row r="33" spans="28:41" x14ac:dyDescent="0.3">
      <c r="AB33">
        <v>12474.972159999999</v>
      </c>
      <c r="AC33">
        <v>-4.3479999999999999</v>
      </c>
      <c r="AD33">
        <v>-4.7080000000000002</v>
      </c>
      <c r="AN33">
        <v>9348</v>
      </c>
      <c r="AO33">
        <v>-7.0047164294200002</v>
      </c>
    </row>
    <row r="34" spans="28:41" x14ac:dyDescent="0.3">
      <c r="AB34">
        <v>12495.329449999999</v>
      </c>
      <c r="AC34">
        <v>-4.3650000000000002</v>
      </c>
      <c r="AD34">
        <v>-6.4690000000000003</v>
      </c>
      <c r="AN34">
        <v>9357.4</v>
      </c>
      <c r="AO34">
        <v>-7.6541239353200003</v>
      </c>
    </row>
    <row r="35" spans="28:41" x14ac:dyDescent="0.3">
      <c r="AB35">
        <v>12515.686739999999</v>
      </c>
      <c r="AC35">
        <v>-4.1029999999999998</v>
      </c>
      <c r="AD35">
        <v>-3.173</v>
      </c>
      <c r="AN35">
        <v>9374.7777777800002</v>
      </c>
      <c r="AO35">
        <v>-7.13659610754</v>
      </c>
    </row>
    <row r="36" spans="28:41" x14ac:dyDescent="0.3">
      <c r="AB36">
        <v>12536.044029999999</v>
      </c>
      <c r="AC36">
        <v>-4.2450000000000001</v>
      </c>
      <c r="AD36">
        <v>-5.8289999999999997</v>
      </c>
      <c r="AN36">
        <v>9396</v>
      </c>
      <c r="AO36">
        <v>-7.1515824345999999</v>
      </c>
    </row>
    <row r="37" spans="28:41" x14ac:dyDescent="0.3">
      <c r="AB37">
        <v>12556.401320000001</v>
      </c>
      <c r="AC37">
        <v>-4.1399999999999997</v>
      </c>
      <c r="AD37">
        <v>-3.7</v>
      </c>
      <c r="AN37">
        <v>9413.625</v>
      </c>
      <c r="AO37">
        <v>-6.8908203437699997</v>
      </c>
    </row>
    <row r="38" spans="28:41" x14ac:dyDescent="0.3">
      <c r="AB38">
        <v>12584.740959999999</v>
      </c>
      <c r="AC38">
        <v>-3.677</v>
      </c>
      <c r="AD38">
        <v>-6.0270000000000001</v>
      </c>
      <c r="AN38">
        <v>9428.0909090900004</v>
      </c>
      <c r="AO38">
        <v>-6.5651175023399997</v>
      </c>
    </row>
    <row r="39" spans="28:41" x14ac:dyDescent="0.3">
      <c r="AB39">
        <v>12613.080599999999</v>
      </c>
      <c r="AC39">
        <v>-4.0270000000000001</v>
      </c>
      <c r="AD39">
        <v>-3.7850000000000001</v>
      </c>
      <c r="AN39">
        <v>9443.25</v>
      </c>
      <c r="AO39">
        <v>-6.7304666442299999</v>
      </c>
    </row>
    <row r="40" spans="28:41" x14ac:dyDescent="0.3">
      <c r="AB40">
        <v>12641.420239999999</v>
      </c>
      <c r="AC40">
        <v>-4.0209999999999999</v>
      </c>
      <c r="AD40">
        <v>-3.9359999999999999</v>
      </c>
      <c r="AN40">
        <v>9453</v>
      </c>
      <c r="AO40">
        <v>-7.3164320322499998</v>
      </c>
    </row>
    <row r="41" spans="28:41" x14ac:dyDescent="0.3">
      <c r="AB41">
        <v>12669.75987</v>
      </c>
      <c r="AC41">
        <v>-4.1269999999999998</v>
      </c>
      <c r="AD41">
        <v>-4.0739999999999998</v>
      </c>
      <c r="AN41">
        <v>9461</v>
      </c>
      <c r="AO41">
        <v>-7.2984484397799996</v>
      </c>
    </row>
    <row r="42" spans="28:41" x14ac:dyDescent="0.3">
      <c r="AB42">
        <v>12698.09951</v>
      </c>
      <c r="AC42">
        <v>-3.94</v>
      </c>
      <c r="AD42">
        <v>-4.9539999999999997</v>
      </c>
      <c r="AN42">
        <v>9476.2222222199998</v>
      </c>
      <c r="AO42">
        <v>-6.7759251696499998</v>
      </c>
    </row>
    <row r="43" spans="28:41" x14ac:dyDescent="0.3">
      <c r="AB43">
        <v>12726.43915</v>
      </c>
      <c r="AC43">
        <v>-4.016</v>
      </c>
      <c r="AD43">
        <v>-5.1509999999999998</v>
      </c>
      <c r="AN43">
        <v>9487.375</v>
      </c>
      <c r="AO43">
        <v>-6.9078048477699996</v>
      </c>
    </row>
    <row r="44" spans="28:41" x14ac:dyDescent="0.3">
      <c r="AB44">
        <v>12754.77879</v>
      </c>
      <c r="AC44">
        <v>-4.0970000000000004</v>
      </c>
      <c r="AD44">
        <v>-6.5940000000000003</v>
      </c>
      <c r="AN44">
        <v>9504.1428571399993</v>
      </c>
      <c r="AO44">
        <v>-7.0456790567100001</v>
      </c>
    </row>
    <row r="45" spans="28:41" x14ac:dyDescent="0.3">
      <c r="AB45">
        <v>12783.11843</v>
      </c>
      <c r="AC45">
        <v>-4.1890000000000001</v>
      </c>
      <c r="AD45">
        <v>-6.2190000000000003</v>
      </c>
      <c r="AN45">
        <v>9514.4285714300004</v>
      </c>
      <c r="AO45">
        <v>-7.2749698607199997</v>
      </c>
    </row>
    <row r="46" spans="28:41" x14ac:dyDescent="0.3">
      <c r="AB46">
        <v>12811.458070000001</v>
      </c>
      <c r="AC46">
        <v>-3.8239999999999998</v>
      </c>
      <c r="AD46">
        <v>-5.9909999999999997</v>
      </c>
      <c r="AN46">
        <v>9524.75</v>
      </c>
      <c r="AO46">
        <v>-7.3728805308399998</v>
      </c>
    </row>
    <row r="47" spans="28:41" x14ac:dyDescent="0.3">
      <c r="AB47">
        <v>12839.797710000001</v>
      </c>
      <c r="AC47">
        <v>-3.72</v>
      </c>
      <c r="AD47">
        <v>-7.88</v>
      </c>
      <c r="AN47">
        <v>9531</v>
      </c>
      <c r="AO47">
        <v>-7.89190699133</v>
      </c>
    </row>
    <row r="48" spans="28:41" x14ac:dyDescent="0.3">
      <c r="AB48">
        <v>12848.33282</v>
      </c>
      <c r="AC48">
        <v>-4.0060000000000002</v>
      </c>
      <c r="AD48">
        <v>-5.1050000000000004</v>
      </c>
      <c r="AN48">
        <v>9544.8181818199992</v>
      </c>
      <c r="AO48">
        <v>-7.31043750143</v>
      </c>
    </row>
    <row r="49" spans="28:41" x14ac:dyDescent="0.3">
      <c r="AB49">
        <v>12856.86794</v>
      </c>
      <c r="AC49">
        <v>-3.6440000000000001</v>
      </c>
      <c r="AD49">
        <v>-5.375</v>
      </c>
      <c r="AN49">
        <v>9559.1111111099999</v>
      </c>
      <c r="AO49">
        <v>-7.2749698607199997</v>
      </c>
    </row>
    <row r="50" spans="28:41" x14ac:dyDescent="0.3">
      <c r="AB50">
        <v>12865.403050000001</v>
      </c>
      <c r="AC50">
        <v>-3.698</v>
      </c>
      <c r="AD50">
        <v>-4.8319999999999999</v>
      </c>
      <c r="AN50">
        <v>9575.5</v>
      </c>
      <c r="AO50">
        <v>-7.4737884663800003</v>
      </c>
    </row>
    <row r="51" spans="28:41" x14ac:dyDescent="0.3">
      <c r="AB51">
        <v>12873.938169999999</v>
      </c>
      <c r="AC51">
        <v>-3.7709999999999999</v>
      </c>
      <c r="AD51">
        <v>-5.1470000000000002</v>
      </c>
      <c r="AN51">
        <v>9585</v>
      </c>
      <c r="AO51">
        <v>-7.3214274746100001</v>
      </c>
    </row>
    <row r="52" spans="28:41" x14ac:dyDescent="0.3">
      <c r="AB52">
        <v>12882.47328</v>
      </c>
      <c r="AC52">
        <v>-3.5990000000000002</v>
      </c>
      <c r="AD52">
        <v>-4.5460000000000003</v>
      </c>
      <c r="AN52">
        <v>9596.5454545499997</v>
      </c>
      <c r="AO52">
        <v>-6.9802387618899999</v>
      </c>
    </row>
    <row r="53" spans="28:41" x14ac:dyDescent="0.3">
      <c r="AB53">
        <v>12891.008400000001</v>
      </c>
      <c r="AC53">
        <v>-3.653</v>
      </c>
      <c r="AD53">
        <v>-5.077</v>
      </c>
      <c r="AN53">
        <v>9609.5714285699996</v>
      </c>
      <c r="AO53">
        <v>-7.1266052228300003</v>
      </c>
    </row>
    <row r="54" spans="28:41" x14ac:dyDescent="0.3">
      <c r="AB54">
        <v>12899.54351</v>
      </c>
      <c r="AC54">
        <v>-3.6549999999999998</v>
      </c>
      <c r="AD54">
        <v>-4.2960000000000003</v>
      </c>
      <c r="AN54">
        <v>9622.4</v>
      </c>
      <c r="AO54">
        <v>-7.0656608261300002</v>
      </c>
    </row>
    <row r="55" spans="28:41" x14ac:dyDescent="0.3">
      <c r="AB55">
        <v>12908.07862</v>
      </c>
      <c r="AC55">
        <v>-4.0720000000000001</v>
      </c>
      <c r="AD55">
        <v>-6.2389999999999999</v>
      </c>
      <c r="AN55">
        <v>9634.2142857100007</v>
      </c>
      <c r="AO55">
        <v>-7.1081220861299999</v>
      </c>
    </row>
    <row r="56" spans="28:41" x14ac:dyDescent="0.3">
      <c r="AB56">
        <v>12916.613740000001</v>
      </c>
      <c r="AC56">
        <v>-3.9729999999999999</v>
      </c>
      <c r="AD56">
        <v>-6.0640000000000001</v>
      </c>
      <c r="AN56">
        <v>9644.5</v>
      </c>
      <c r="AO56">
        <v>-7.2415003969600003</v>
      </c>
    </row>
    <row r="57" spans="28:41" x14ac:dyDescent="0.3">
      <c r="AB57">
        <v>12925.14885</v>
      </c>
      <c r="AC57">
        <v>-4.03</v>
      </c>
      <c r="AD57">
        <v>-6.11</v>
      </c>
      <c r="AN57">
        <v>9654.4545454500003</v>
      </c>
      <c r="AO57">
        <v>-6.9937264562400001</v>
      </c>
    </row>
    <row r="58" spans="28:41" x14ac:dyDescent="0.3">
      <c r="AB58">
        <v>12933.68397</v>
      </c>
      <c r="AC58">
        <v>-3.56</v>
      </c>
      <c r="AD58">
        <v>-8.2270000000000003</v>
      </c>
      <c r="AN58">
        <v>9666.4166666700003</v>
      </c>
      <c r="AO58">
        <v>-7.0236991103599999</v>
      </c>
    </row>
    <row r="59" spans="28:41" x14ac:dyDescent="0.3">
      <c r="AB59">
        <v>12942.219080000001</v>
      </c>
      <c r="AC59">
        <v>-3.6190000000000002</v>
      </c>
      <c r="AD59">
        <v>-8.4670000000000005</v>
      </c>
      <c r="AN59">
        <v>9674.8461538499996</v>
      </c>
      <c r="AO59">
        <v>-7.43632264873</v>
      </c>
    </row>
    <row r="60" spans="28:41" x14ac:dyDescent="0.3">
      <c r="AB60">
        <v>12950.754199999999</v>
      </c>
      <c r="AC60">
        <v>-3.7080000000000002</v>
      </c>
      <c r="AD60">
        <v>-9.2070000000000007</v>
      </c>
      <c r="AN60">
        <v>9684.5555555600004</v>
      </c>
      <c r="AO60">
        <v>-7.62714854662</v>
      </c>
    </row>
    <row r="61" spans="28:41" x14ac:dyDescent="0.3">
      <c r="AB61">
        <v>12959.28931</v>
      </c>
      <c r="AC61">
        <v>-3.5990000000000002</v>
      </c>
      <c r="AD61">
        <v>-9.266</v>
      </c>
      <c r="AN61">
        <v>9696.0769230799997</v>
      </c>
      <c r="AO61">
        <v>-7.5047602089699996</v>
      </c>
    </row>
    <row r="62" spans="28:41" x14ac:dyDescent="0.3">
      <c r="AB62">
        <v>12967.824430000001</v>
      </c>
      <c r="AC62">
        <v>-3.585</v>
      </c>
      <c r="AD62">
        <v>-9.234</v>
      </c>
      <c r="AN62">
        <v>9705.8333333299997</v>
      </c>
      <c r="AO62">
        <v>-7.8939051682699999</v>
      </c>
    </row>
    <row r="63" spans="28:41" x14ac:dyDescent="0.3">
      <c r="AB63">
        <v>12976.359539999999</v>
      </c>
      <c r="AC63">
        <v>-4.048</v>
      </c>
      <c r="AD63">
        <v>-9.4390000000000001</v>
      </c>
      <c r="AN63">
        <v>9719.2857142899993</v>
      </c>
      <c r="AO63">
        <v>-7.1659945005800001</v>
      </c>
    </row>
    <row r="64" spans="28:41" x14ac:dyDescent="0.3">
      <c r="AB64">
        <v>12984.89466</v>
      </c>
      <c r="AC64">
        <v>-4.008</v>
      </c>
      <c r="AD64">
        <v>-8.673</v>
      </c>
      <c r="AN64">
        <v>9729.8571428600007</v>
      </c>
      <c r="AO64">
        <v>-7.9754332681199998</v>
      </c>
    </row>
    <row r="65" spans="28:41" x14ac:dyDescent="0.3">
      <c r="AB65">
        <v>12993.429770000001</v>
      </c>
      <c r="AC65">
        <v>-4.0650000000000004</v>
      </c>
      <c r="AD65">
        <v>-8.4749999999999996</v>
      </c>
      <c r="AN65">
        <v>9744</v>
      </c>
      <c r="AO65">
        <v>-7.7049574145999999</v>
      </c>
    </row>
    <row r="66" spans="28:41" x14ac:dyDescent="0.3">
      <c r="AB66">
        <v>13010.5</v>
      </c>
      <c r="AN66">
        <v>9759.6666666700003</v>
      </c>
      <c r="AO66">
        <v>-6.95916002435</v>
      </c>
    </row>
    <row r="67" spans="28:41" x14ac:dyDescent="0.3">
      <c r="AB67">
        <v>13036.025</v>
      </c>
      <c r="AC67">
        <v>-4.1219999999999999</v>
      </c>
      <c r="AD67">
        <v>-9.0210000000000008</v>
      </c>
      <c r="AN67">
        <v>9776.3333333299997</v>
      </c>
      <c r="AO67">
        <v>-7.0078854538500002</v>
      </c>
    </row>
    <row r="68" spans="28:41" x14ac:dyDescent="0.3">
      <c r="AB68">
        <v>13061.55</v>
      </c>
      <c r="AC68">
        <v>-4.1189999999999998</v>
      </c>
      <c r="AD68">
        <v>-7.0190000000000001</v>
      </c>
      <c r="AN68">
        <v>9790.4615384600002</v>
      </c>
      <c r="AO68">
        <v>-7.0953923476299998</v>
      </c>
    </row>
    <row r="69" spans="28:41" x14ac:dyDescent="0.3">
      <c r="AB69">
        <v>13087.075000000001</v>
      </c>
      <c r="AC69">
        <v>-3.9740000000000002</v>
      </c>
      <c r="AD69">
        <v>-6.6959999999999997</v>
      </c>
      <c r="AN69">
        <v>9805.7999999999993</v>
      </c>
      <c r="AO69">
        <v>-7.1600281214599999</v>
      </c>
    </row>
    <row r="70" spans="28:41" x14ac:dyDescent="0.3">
      <c r="AB70">
        <v>13112.6</v>
      </c>
      <c r="AN70">
        <v>9818.7142857100007</v>
      </c>
      <c r="AO70">
        <v>-6.9969470921200001</v>
      </c>
    </row>
    <row r="71" spans="28:41" x14ac:dyDescent="0.3">
      <c r="AB71">
        <v>13138.125</v>
      </c>
      <c r="AC71">
        <v>-3.9039999999999999</v>
      </c>
      <c r="AD71">
        <v>-6.3559999999999999</v>
      </c>
      <c r="AN71">
        <v>9832.75</v>
      </c>
      <c r="AO71">
        <v>-7.0874371754699999</v>
      </c>
    </row>
    <row r="72" spans="28:41" x14ac:dyDescent="0.3">
      <c r="AB72">
        <v>13163.65</v>
      </c>
      <c r="AC72">
        <v>-4.2469999999999999</v>
      </c>
      <c r="AD72">
        <v>-7.8869999999999996</v>
      </c>
      <c r="AN72">
        <v>9845.7272727300005</v>
      </c>
      <c r="AO72">
        <v>-6.9929695060399997</v>
      </c>
    </row>
    <row r="73" spans="28:41" x14ac:dyDescent="0.3">
      <c r="AB73">
        <v>13189.174999999999</v>
      </c>
      <c r="AC73">
        <v>-4.2279999999999998</v>
      </c>
      <c r="AD73">
        <v>-8.7629999999999999</v>
      </c>
      <c r="AN73">
        <v>9861</v>
      </c>
      <c r="AO73">
        <v>-7.0894259685099996</v>
      </c>
    </row>
    <row r="74" spans="28:41" x14ac:dyDescent="0.3">
      <c r="AB74">
        <v>13214.7</v>
      </c>
      <c r="AN74">
        <v>9875.6</v>
      </c>
      <c r="AO74">
        <v>-6.9929695060399997</v>
      </c>
    </row>
    <row r="75" spans="28:41" x14ac:dyDescent="0.3">
      <c r="AB75">
        <v>13240.225</v>
      </c>
      <c r="AC75">
        <v>-4.3129999999999997</v>
      </c>
      <c r="AD75">
        <v>-7.9640000000000004</v>
      </c>
      <c r="AN75">
        <v>9894.3333333299997</v>
      </c>
      <c r="AO75">
        <v>-6.8358548558300001</v>
      </c>
    </row>
    <row r="76" spans="28:41" x14ac:dyDescent="0.3">
      <c r="AB76">
        <v>13265.75</v>
      </c>
      <c r="AC76">
        <v>-4.2699999999999996</v>
      </c>
      <c r="AD76">
        <v>-8.39</v>
      </c>
      <c r="AN76">
        <v>9922.3333333299997</v>
      </c>
      <c r="AO76">
        <v>-6.8766251131600002</v>
      </c>
    </row>
    <row r="77" spans="28:41" x14ac:dyDescent="0.3">
      <c r="AB77">
        <v>13291.275</v>
      </c>
      <c r="AC77">
        <v>-3.464</v>
      </c>
      <c r="AD77">
        <v>-8.0079999999999991</v>
      </c>
      <c r="AN77">
        <v>9935.2000000000007</v>
      </c>
      <c r="AO77">
        <v>-7.1132914850000004</v>
      </c>
    </row>
    <row r="78" spans="28:41" x14ac:dyDescent="0.3">
      <c r="AB78">
        <v>13316.8</v>
      </c>
      <c r="AN78">
        <v>9944.4166666700003</v>
      </c>
      <c r="AO78">
        <v>-7.1401401910500004</v>
      </c>
    </row>
    <row r="79" spans="28:41" x14ac:dyDescent="0.3">
      <c r="AB79">
        <v>13342.325000000001</v>
      </c>
      <c r="AC79">
        <v>-3.4670000000000001</v>
      </c>
      <c r="AD79">
        <v>-8.4440000000000008</v>
      </c>
      <c r="AN79">
        <v>9955</v>
      </c>
      <c r="AO79">
        <v>-7.2196919126800001</v>
      </c>
    </row>
    <row r="80" spans="28:41" x14ac:dyDescent="0.3">
      <c r="AB80">
        <v>13367.85</v>
      </c>
      <c r="AC80">
        <v>-3.597</v>
      </c>
      <c r="AD80">
        <v>-8.5060000000000002</v>
      </c>
      <c r="AN80">
        <v>9965.1111111099999</v>
      </c>
      <c r="AO80">
        <v>-7.1262186397600003</v>
      </c>
    </row>
    <row r="81" spans="28:41" x14ac:dyDescent="0.3">
      <c r="AB81">
        <v>13393.375</v>
      </c>
      <c r="AC81">
        <v>-3.9380000000000002</v>
      </c>
      <c r="AD81">
        <v>-7.2670000000000003</v>
      </c>
      <c r="AN81">
        <v>9976.1111111099999</v>
      </c>
      <c r="AO81">
        <v>-6.9840199373600003</v>
      </c>
    </row>
    <row r="82" spans="28:41" x14ac:dyDescent="0.3">
      <c r="AB82">
        <v>13418.9</v>
      </c>
      <c r="AN82">
        <v>9989.625</v>
      </c>
      <c r="AO82">
        <v>-7.0585996763800001</v>
      </c>
    </row>
    <row r="83" spans="28:41" x14ac:dyDescent="0.3">
      <c r="AB83">
        <v>13444.424999999999</v>
      </c>
      <c r="AC83">
        <v>-3.8780000000000001</v>
      </c>
      <c r="AD83">
        <v>-8.0180000000000007</v>
      </c>
      <c r="AN83">
        <v>10002.333333299999</v>
      </c>
      <c r="AO83">
        <v>-6.9422552834999998</v>
      </c>
    </row>
    <row r="84" spans="28:41" x14ac:dyDescent="0.3">
      <c r="AB84">
        <v>13469.95</v>
      </c>
      <c r="AC84">
        <v>-4.0209999999999999</v>
      </c>
      <c r="AD84">
        <v>-7.4180000000000001</v>
      </c>
      <c r="AN84">
        <v>10017.875</v>
      </c>
      <c r="AO84">
        <v>-7.0576052798599997</v>
      </c>
    </row>
    <row r="85" spans="28:41" x14ac:dyDescent="0.3">
      <c r="AB85">
        <v>13495.475</v>
      </c>
      <c r="AC85">
        <v>-3.7810000000000001</v>
      </c>
      <c r="AD85">
        <v>-6.7759999999999998</v>
      </c>
      <c r="AN85">
        <v>10034.4285714</v>
      </c>
      <c r="AO85">
        <v>-7.0516389007400004</v>
      </c>
    </row>
    <row r="86" spans="28:41" x14ac:dyDescent="0.3">
      <c r="AB86">
        <v>13521</v>
      </c>
      <c r="AN86">
        <v>10046</v>
      </c>
      <c r="AO86">
        <v>-7.4026608724200003</v>
      </c>
    </row>
    <row r="87" spans="28:41" x14ac:dyDescent="0.3">
      <c r="AB87">
        <v>13559.57238</v>
      </c>
      <c r="AC87">
        <v>-3.609</v>
      </c>
      <c r="AD87">
        <v>-7.4359999999999999</v>
      </c>
      <c r="AN87">
        <v>10056.5555556</v>
      </c>
      <c r="AO87">
        <v>-7.4175768202199999</v>
      </c>
    </row>
    <row r="88" spans="28:41" x14ac:dyDescent="0.3">
      <c r="AB88">
        <v>13598.144759999999</v>
      </c>
      <c r="AC88">
        <v>-4.0250000000000004</v>
      </c>
      <c r="AD88">
        <v>-5.718</v>
      </c>
      <c r="AN88">
        <v>10070.5</v>
      </c>
      <c r="AO88">
        <v>-7.3887393211300001</v>
      </c>
    </row>
    <row r="89" spans="28:41" x14ac:dyDescent="0.3">
      <c r="AB89">
        <v>13636.717140000001</v>
      </c>
      <c r="AC89">
        <v>-3.7829999999999999</v>
      </c>
      <c r="AD89">
        <v>-5.9610000000000003</v>
      </c>
      <c r="AN89">
        <v>10087.5555556</v>
      </c>
      <c r="AO89">
        <v>-7.33205871947</v>
      </c>
    </row>
    <row r="90" spans="28:41" x14ac:dyDescent="0.3">
      <c r="AB90">
        <v>13675.28952</v>
      </c>
      <c r="AC90">
        <v>-4.0609999999999999</v>
      </c>
      <c r="AD90">
        <v>-5.4749999999999996</v>
      </c>
      <c r="AN90">
        <v>10100</v>
      </c>
      <c r="AO90">
        <v>-7.3181371681899998</v>
      </c>
    </row>
    <row r="91" spans="28:41" x14ac:dyDescent="0.3">
      <c r="AB91">
        <v>13713.8619</v>
      </c>
      <c r="AC91">
        <v>-3.9169999999999998</v>
      </c>
      <c r="AD91">
        <v>-5.351</v>
      </c>
      <c r="AN91">
        <v>10112.5</v>
      </c>
      <c r="AO91">
        <v>-7.3420026846799997</v>
      </c>
    </row>
    <row r="92" spans="28:41" x14ac:dyDescent="0.3">
      <c r="AB92">
        <v>13752.434289999999</v>
      </c>
      <c r="AC92">
        <v>-3.65</v>
      </c>
      <c r="AD92">
        <v>-6.0990000000000002</v>
      </c>
      <c r="AN92">
        <v>10124</v>
      </c>
      <c r="AO92">
        <v>-7.26245096305</v>
      </c>
    </row>
    <row r="93" spans="28:41" x14ac:dyDescent="0.3">
      <c r="AB93">
        <v>13791.006670000001</v>
      </c>
      <c r="AC93">
        <v>-3.641</v>
      </c>
      <c r="AD93">
        <v>-4.91</v>
      </c>
      <c r="AN93">
        <v>10135.4285714</v>
      </c>
      <c r="AO93">
        <v>-7.3260923403499998</v>
      </c>
    </row>
    <row r="94" spans="28:41" x14ac:dyDescent="0.3">
      <c r="AB94">
        <v>13829.57905</v>
      </c>
      <c r="AC94">
        <v>-4.2549999999999999</v>
      </c>
      <c r="AD94">
        <v>-7.633</v>
      </c>
      <c r="AN94">
        <v>10147.2222222</v>
      </c>
      <c r="AO94">
        <v>-6.8428156314699997</v>
      </c>
    </row>
    <row r="95" spans="28:41" x14ac:dyDescent="0.3">
      <c r="AB95">
        <v>13868.15143</v>
      </c>
      <c r="AC95">
        <v>-3.806</v>
      </c>
      <c r="AD95">
        <v>-6.6740000000000004</v>
      </c>
      <c r="AN95">
        <v>10161</v>
      </c>
      <c r="AO95">
        <v>-7.1113026919599998</v>
      </c>
    </row>
    <row r="96" spans="28:41" x14ac:dyDescent="0.3">
      <c r="AB96">
        <v>13906.72381</v>
      </c>
      <c r="AC96">
        <v>-3.75</v>
      </c>
      <c r="AD96">
        <v>-6.19</v>
      </c>
      <c r="AN96">
        <v>10170.5714286</v>
      </c>
      <c r="AO96">
        <v>-6.9124233878899997</v>
      </c>
    </row>
    <row r="97" spans="28:41" x14ac:dyDescent="0.3">
      <c r="AB97">
        <v>13945.296189999999</v>
      </c>
      <c r="AC97">
        <v>-4.1710000000000003</v>
      </c>
      <c r="AD97">
        <v>-6.0910000000000002</v>
      </c>
      <c r="AN97">
        <v>10184.666666700001</v>
      </c>
      <c r="AO97">
        <v>-6.9193841635400002</v>
      </c>
    </row>
    <row r="98" spans="28:41" x14ac:dyDescent="0.3">
      <c r="AB98">
        <v>13983.868570000001</v>
      </c>
      <c r="AC98">
        <v>-5.024</v>
      </c>
      <c r="AD98">
        <v>-6.1420000000000003</v>
      </c>
      <c r="AN98">
        <v>10198.5714286</v>
      </c>
      <c r="AO98">
        <v>-6.6459251204500003</v>
      </c>
    </row>
    <row r="99" spans="28:41" x14ac:dyDescent="0.3">
      <c r="AB99">
        <v>14022.44095</v>
      </c>
      <c r="AC99">
        <v>-3.931</v>
      </c>
      <c r="AD99">
        <v>-6.2309999999999999</v>
      </c>
      <c r="AN99">
        <v>10213</v>
      </c>
      <c r="AO99">
        <v>-6.5793005535800004</v>
      </c>
    </row>
    <row r="100" spans="28:41" x14ac:dyDescent="0.3">
      <c r="AB100">
        <v>14061.01333</v>
      </c>
      <c r="AC100">
        <v>-4.0949999999999998</v>
      </c>
      <c r="AD100">
        <v>-6.2380000000000004</v>
      </c>
      <c r="AN100">
        <v>10224.1</v>
      </c>
      <c r="AO100">
        <v>-6.5275919345300002</v>
      </c>
    </row>
    <row r="101" spans="28:41" x14ac:dyDescent="0.3">
      <c r="AB101">
        <v>14099.585709999999</v>
      </c>
      <c r="AC101">
        <v>-4.16</v>
      </c>
      <c r="AD101">
        <v>-7.4429999999999996</v>
      </c>
      <c r="AN101">
        <v>10238.5714286</v>
      </c>
      <c r="AO101">
        <v>-6.8173873411799999</v>
      </c>
    </row>
    <row r="102" spans="28:41" x14ac:dyDescent="0.3">
      <c r="AB102">
        <v>14138.158090000001</v>
      </c>
      <c r="AC102">
        <v>-4.3970000000000002</v>
      </c>
      <c r="AD102">
        <v>-7.11</v>
      </c>
      <c r="AN102">
        <v>10254.75</v>
      </c>
      <c r="AO102">
        <v>-6.7079871536400004</v>
      </c>
    </row>
    <row r="103" spans="28:41" x14ac:dyDescent="0.3">
      <c r="AB103">
        <v>14176.73047</v>
      </c>
      <c r="AC103">
        <v>-3.7690000000000001</v>
      </c>
      <c r="AD103">
        <v>-5.73</v>
      </c>
      <c r="AN103">
        <v>10267.1428571</v>
      </c>
      <c r="AO103">
        <v>-6.8628458665899998</v>
      </c>
    </row>
    <row r="104" spans="28:41" x14ac:dyDescent="0.3">
      <c r="AB104">
        <v>14215.30286</v>
      </c>
      <c r="AC104">
        <v>-4.1059999999999999</v>
      </c>
      <c r="AD104">
        <v>-6.8929999999999998</v>
      </c>
      <c r="AN104">
        <v>10279.9</v>
      </c>
      <c r="AO104">
        <v>-6.9557610943599997</v>
      </c>
    </row>
    <row r="105" spans="28:41" x14ac:dyDescent="0.3">
      <c r="AB105">
        <v>14253.875239999999</v>
      </c>
      <c r="AC105">
        <v>-4.0410000000000004</v>
      </c>
      <c r="AD105">
        <v>-6.43</v>
      </c>
      <c r="AN105">
        <v>10293.2857143</v>
      </c>
      <c r="AO105">
        <v>-7.02170093342</v>
      </c>
    </row>
    <row r="106" spans="28:41" x14ac:dyDescent="0.3">
      <c r="AB106">
        <v>14292.447620000001</v>
      </c>
      <c r="AC106">
        <v>-3.6</v>
      </c>
      <c r="AD106">
        <v>-5.23</v>
      </c>
      <c r="AN106">
        <v>10307.700000000001</v>
      </c>
      <c r="AO106">
        <v>-7.0886398609499999</v>
      </c>
    </row>
    <row r="107" spans="28:41" x14ac:dyDescent="0.3">
      <c r="AB107">
        <v>14331.02</v>
      </c>
      <c r="AC107">
        <v>-3.9350000000000001</v>
      </c>
      <c r="AD107">
        <v>-6.1360000000000001</v>
      </c>
      <c r="AN107">
        <v>10317.666666700001</v>
      </c>
      <c r="AO107">
        <v>-7.1445888153099997</v>
      </c>
    </row>
    <row r="108" spans="28:41" x14ac:dyDescent="0.3">
      <c r="AB108">
        <v>14369.59238</v>
      </c>
      <c r="AC108">
        <v>-3.89</v>
      </c>
      <c r="AD108">
        <v>-5.6929999999999996</v>
      </c>
      <c r="AN108">
        <v>10329.2222222</v>
      </c>
      <c r="AO108">
        <v>-7.7060765358000003</v>
      </c>
    </row>
    <row r="109" spans="28:41" x14ac:dyDescent="0.3">
      <c r="AB109">
        <v>14408.16476</v>
      </c>
      <c r="AC109">
        <v>-3.702</v>
      </c>
      <c r="AD109">
        <v>-5.7709999999999999</v>
      </c>
      <c r="AN109">
        <v>10340.666666700001</v>
      </c>
      <c r="AO109">
        <v>-7.4543062412000003</v>
      </c>
    </row>
    <row r="110" spans="28:41" x14ac:dyDescent="0.3">
      <c r="AB110">
        <v>14446.737139999999</v>
      </c>
      <c r="AC110">
        <v>-3.7810000000000001</v>
      </c>
      <c r="AD110">
        <v>-6.2839999999999998</v>
      </c>
      <c r="AN110">
        <v>10355</v>
      </c>
      <c r="AO110">
        <v>-6.9872323811800001</v>
      </c>
    </row>
    <row r="111" spans="28:41" x14ac:dyDescent="0.3">
      <c r="AB111">
        <v>14485.309520000001</v>
      </c>
      <c r="AC111">
        <v>-3.8260000000000001</v>
      </c>
      <c r="AD111">
        <v>-8.048</v>
      </c>
      <c r="AN111">
        <v>10368.200000000001</v>
      </c>
      <c r="AO111">
        <v>-7.1685669385999997</v>
      </c>
    </row>
    <row r="112" spans="28:41" x14ac:dyDescent="0.3">
      <c r="AB112">
        <v>14523.8819</v>
      </c>
      <c r="AC112">
        <v>-3.9820000000000002</v>
      </c>
      <c r="AD112">
        <v>-8.5329999999999995</v>
      </c>
      <c r="AN112">
        <v>10378.4444444</v>
      </c>
      <c r="AO112">
        <v>-6.9517647404799998</v>
      </c>
    </row>
    <row r="113" spans="28:41" x14ac:dyDescent="0.3">
      <c r="AB113">
        <v>14562.45428</v>
      </c>
      <c r="AC113">
        <v>-3.6259999999999999</v>
      </c>
      <c r="AD113">
        <v>-4.8970000000000002</v>
      </c>
      <c r="AN113">
        <v>10386.636363600001</v>
      </c>
      <c r="AO113">
        <v>-7.1345979306</v>
      </c>
    </row>
    <row r="114" spans="28:41" x14ac:dyDescent="0.3">
      <c r="AB114">
        <v>14601.02666</v>
      </c>
      <c r="AC114">
        <v>-3.9340000000000002</v>
      </c>
      <c r="AD114">
        <v>-5.7030000000000003</v>
      </c>
      <c r="AN114">
        <v>10398.083333299999</v>
      </c>
      <c r="AO114">
        <v>-7.2684757856599997</v>
      </c>
    </row>
    <row r="115" spans="28:41" x14ac:dyDescent="0.3">
      <c r="AB115">
        <v>14639.599050000001</v>
      </c>
      <c r="AC115">
        <v>-3.8580000000000001</v>
      </c>
      <c r="AD115">
        <v>-7.3150000000000004</v>
      </c>
      <c r="AN115">
        <v>10408.625</v>
      </c>
      <c r="AO115">
        <v>-7.2325086007200001</v>
      </c>
    </row>
    <row r="116" spans="28:41" x14ac:dyDescent="0.3">
      <c r="AB116">
        <v>14678.17143</v>
      </c>
      <c r="AC116">
        <v>-4.07</v>
      </c>
      <c r="AD116">
        <v>-6.09</v>
      </c>
      <c r="AN116">
        <v>10435.5</v>
      </c>
      <c r="AO116">
        <v>-7.0486763221300004</v>
      </c>
    </row>
    <row r="117" spans="28:41" x14ac:dyDescent="0.3">
      <c r="AB117">
        <v>14716.74381</v>
      </c>
      <c r="AC117">
        <v>-3.5289999999999999</v>
      </c>
      <c r="AD117">
        <v>-4.532</v>
      </c>
      <c r="AN117">
        <v>10444.636363600001</v>
      </c>
      <c r="AO117">
        <v>-7.5492196459100001</v>
      </c>
    </row>
    <row r="118" spans="28:41" x14ac:dyDescent="0.3">
      <c r="AB118">
        <v>14755.31619</v>
      </c>
      <c r="AC118">
        <v>-3.76</v>
      </c>
      <c r="AD118">
        <v>-5.1749999999999998</v>
      </c>
      <c r="AN118">
        <v>10456.666666700001</v>
      </c>
      <c r="AO118">
        <v>-7.2305104237800002</v>
      </c>
    </row>
    <row r="119" spans="28:41" x14ac:dyDescent="0.3">
      <c r="AB119">
        <v>14793.888569999999</v>
      </c>
      <c r="AC119">
        <v>-3.8319999999999999</v>
      </c>
      <c r="AD119">
        <v>-5.266</v>
      </c>
      <c r="AN119">
        <v>10470.799999999999</v>
      </c>
      <c r="AO119">
        <v>-7.1925450618999998</v>
      </c>
    </row>
    <row r="120" spans="28:41" x14ac:dyDescent="0.3">
      <c r="AB120">
        <v>14832.460950000001</v>
      </c>
      <c r="AC120">
        <v>-3.91</v>
      </c>
      <c r="AD120">
        <v>-5.2779999999999996</v>
      </c>
      <c r="AN120">
        <v>10479.5555556</v>
      </c>
      <c r="AO120">
        <v>-7.6741057047399996</v>
      </c>
    </row>
    <row r="121" spans="28:41" x14ac:dyDescent="0.3">
      <c r="AB121">
        <v>14883.890789999999</v>
      </c>
      <c r="AC121">
        <v>-3.6560000000000001</v>
      </c>
      <c r="AD121">
        <v>-5.0759999999999996</v>
      </c>
      <c r="AN121">
        <v>10494.666666700001</v>
      </c>
      <c r="AO121">
        <v>-6.8818285475299996</v>
      </c>
    </row>
    <row r="122" spans="28:41" x14ac:dyDescent="0.3">
      <c r="AB122">
        <v>14935.32063</v>
      </c>
      <c r="AC122">
        <v>-3.6280000000000001</v>
      </c>
      <c r="AD122">
        <v>-4.4450000000000003</v>
      </c>
      <c r="AN122">
        <v>10510.4444444</v>
      </c>
      <c r="AO122">
        <v>-6.9857337484800004</v>
      </c>
    </row>
    <row r="123" spans="28:41" x14ac:dyDescent="0.3">
      <c r="AB123">
        <v>14986.750470000001</v>
      </c>
      <c r="AC123">
        <v>-4.1589999999999998</v>
      </c>
      <c r="AD123">
        <v>-4.2430000000000003</v>
      </c>
      <c r="AN123">
        <v>10525.166666700001</v>
      </c>
      <c r="AO123">
        <v>-6.9427729442399997</v>
      </c>
    </row>
    <row r="124" spans="28:41" x14ac:dyDescent="0.3">
      <c r="AB124">
        <v>15025.32285</v>
      </c>
      <c r="AC124">
        <v>-3.6669999999999998</v>
      </c>
      <c r="AD124">
        <v>-4.6929999999999996</v>
      </c>
      <c r="AN124">
        <v>10538.833333299999</v>
      </c>
      <c r="AO124">
        <v>-7.09763165719</v>
      </c>
    </row>
    <row r="125" spans="28:41" x14ac:dyDescent="0.3">
      <c r="AB125">
        <v>15063.89523</v>
      </c>
      <c r="AC125">
        <v>-3.87</v>
      </c>
      <c r="AD125">
        <v>-6.24</v>
      </c>
      <c r="AN125">
        <v>10547.8125</v>
      </c>
      <c r="AO125">
        <v>-7.5552141767299998</v>
      </c>
    </row>
    <row r="126" spans="28:41" x14ac:dyDescent="0.3">
      <c r="AB126">
        <v>15102.467619999999</v>
      </c>
      <c r="AC126">
        <v>-4.0010000000000003</v>
      </c>
      <c r="AD126">
        <v>-6.0209999999999999</v>
      </c>
      <c r="AN126">
        <v>10555.153846200001</v>
      </c>
      <c r="AO126">
        <v>-7.9448586802800003</v>
      </c>
    </row>
    <row r="127" spans="28:41" x14ac:dyDescent="0.3">
      <c r="AB127">
        <v>15141.04</v>
      </c>
      <c r="AC127">
        <v>-3.9449999999999998</v>
      </c>
      <c r="AD127">
        <v>-5.9560000000000004</v>
      </c>
      <c r="AN127">
        <v>10566.4285714</v>
      </c>
      <c r="AO127">
        <v>-7.4023536407300004</v>
      </c>
    </row>
    <row r="128" spans="28:41" x14ac:dyDescent="0.3">
      <c r="AB128">
        <v>15179.61238</v>
      </c>
      <c r="AC128">
        <v>-3.706</v>
      </c>
      <c r="AD128">
        <v>-5.1740000000000004</v>
      </c>
      <c r="AN128">
        <v>10578.4</v>
      </c>
      <c r="AO128">
        <v>-7.44931079885</v>
      </c>
    </row>
    <row r="129" spans="28:41" x14ac:dyDescent="0.3">
      <c r="AB129">
        <v>15218.18476</v>
      </c>
      <c r="AC129">
        <v>-3.9569999999999999</v>
      </c>
      <c r="AD129">
        <v>-4.1420000000000003</v>
      </c>
      <c r="AN129">
        <v>10593.75</v>
      </c>
      <c r="AO129">
        <v>-7.0726544454200004</v>
      </c>
    </row>
    <row r="130" spans="28:41" x14ac:dyDescent="0.3">
      <c r="AB130">
        <v>15256.75714</v>
      </c>
      <c r="AC130">
        <v>-3.8290000000000002</v>
      </c>
      <c r="AD130">
        <v>-3.855</v>
      </c>
      <c r="AN130">
        <v>10613.666666700001</v>
      </c>
      <c r="AO130">
        <v>-6.9108021131799999</v>
      </c>
    </row>
    <row r="131" spans="28:41" x14ac:dyDescent="0.3">
      <c r="AB131">
        <v>15295.329519999999</v>
      </c>
      <c r="AC131">
        <v>-3.766</v>
      </c>
      <c r="AD131">
        <v>-3.3570000000000002</v>
      </c>
      <c r="AN131">
        <v>10629.8421053</v>
      </c>
      <c r="AO131">
        <v>-6.9817373945899996</v>
      </c>
    </row>
    <row r="132" spans="28:41" x14ac:dyDescent="0.3">
      <c r="AB132">
        <v>15333.901900000001</v>
      </c>
      <c r="AC132">
        <v>-3.51</v>
      </c>
      <c r="AD132">
        <v>-2.2450000000000001</v>
      </c>
      <c r="AN132">
        <v>10638.333333299999</v>
      </c>
      <c r="AO132">
        <v>-7.3648878230800001</v>
      </c>
    </row>
    <row r="133" spans="28:41" x14ac:dyDescent="0.3">
      <c r="AB133">
        <v>15372.47428</v>
      </c>
      <c r="AC133">
        <v>-4.0460000000000003</v>
      </c>
      <c r="AD133">
        <v>-2.7370000000000001</v>
      </c>
      <c r="AN133">
        <v>10653.125</v>
      </c>
      <c r="AO133">
        <v>-7.1695660270700001</v>
      </c>
    </row>
    <row r="134" spans="28:41" x14ac:dyDescent="0.3">
      <c r="AB134">
        <v>15411.04666</v>
      </c>
      <c r="AC134">
        <v>-3.871</v>
      </c>
      <c r="AD134">
        <v>-2.42</v>
      </c>
      <c r="AN134">
        <v>10665.769230800001</v>
      </c>
      <c r="AO134">
        <v>-7.2804648473100002</v>
      </c>
    </row>
    <row r="135" spans="28:41" x14ac:dyDescent="0.3">
      <c r="AB135">
        <v>15449.61904</v>
      </c>
      <c r="AC135">
        <v>-4.1100000000000003</v>
      </c>
      <c r="AD135">
        <v>-2.9169999999999998</v>
      </c>
      <c r="AN135">
        <v>10675.833333299999</v>
      </c>
      <c r="AO135">
        <v>-6.4572159475199999</v>
      </c>
    </row>
    <row r="136" spans="28:41" x14ac:dyDescent="0.3">
      <c r="AN136">
        <v>10686.4285714</v>
      </c>
      <c r="AO136">
        <v>-7.3344156247200001</v>
      </c>
    </row>
    <row r="137" spans="28:41" x14ac:dyDescent="0.3">
      <c r="AB137">
        <v>18203.639050000002</v>
      </c>
      <c r="AC137">
        <v>-2.71</v>
      </c>
      <c r="AD137">
        <v>-3.31</v>
      </c>
      <c r="AN137">
        <v>10699.5555556</v>
      </c>
      <c r="AO137">
        <v>-7.1620728635399997</v>
      </c>
    </row>
    <row r="138" spans="28:41" x14ac:dyDescent="0.3">
      <c r="AB138">
        <v>18216.504730000001</v>
      </c>
      <c r="AC138">
        <v>-2.8279999999999998</v>
      </c>
      <c r="AD138">
        <v>-2.9129999999999998</v>
      </c>
      <c r="AN138">
        <v>10711.4</v>
      </c>
      <c r="AO138">
        <v>-7.1335988421299996</v>
      </c>
    </row>
    <row r="139" spans="28:41" x14ac:dyDescent="0.3">
      <c r="AB139">
        <v>18229.37041</v>
      </c>
      <c r="AC139">
        <v>-3.0110000000000001</v>
      </c>
      <c r="AD139">
        <v>-3.629</v>
      </c>
      <c r="AN139">
        <v>10724.6</v>
      </c>
      <c r="AO139">
        <v>-7.07365353389</v>
      </c>
    </row>
    <row r="140" spans="28:41" x14ac:dyDescent="0.3">
      <c r="AB140">
        <v>18242.236089999999</v>
      </c>
      <c r="AC140">
        <v>-2.948</v>
      </c>
      <c r="AD140">
        <v>-3.3010000000000002</v>
      </c>
      <c r="AN140">
        <v>10736.4444444</v>
      </c>
      <c r="AO140">
        <v>-7.18655053107</v>
      </c>
    </row>
    <row r="141" spans="28:41" x14ac:dyDescent="0.3">
      <c r="AB141">
        <v>18255.101770000001</v>
      </c>
      <c r="AC141">
        <v>-2.992</v>
      </c>
      <c r="AD141">
        <v>-3.6469999999999998</v>
      </c>
      <c r="AN141">
        <v>10748.9</v>
      </c>
      <c r="AO141">
        <v>-7.16057423084</v>
      </c>
    </row>
    <row r="142" spans="28:41" x14ac:dyDescent="0.3">
      <c r="AB142">
        <v>18267.96745</v>
      </c>
      <c r="AC142">
        <v>-2.472</v>
      </c>
      <c r="AD142">
        <v>-2.9380000000000002</v>
      </c>
      <c r="AN142">
        <v>10763</v>
      </c>
      <c r="AO142">
        <v>-6.9387765903599998</v>
      </c>
    </row>
    <row r="143" spans="28:41" x14ac:dyDescent="0.3">
      <c r="AB143">
        <v>18280.833129999999</v>
      </c>
      <c r="AC143">
        <v>-2.7069999999999999</v>
      </c>
      <c r="AD143">
        <v>-3.427</v>
      </c>
      <c r="AN143">
        <v>10776.2</v>
      </c>
      <c r="AO143">
        <v>-7.5761950346200004</v>
      </c>
    </row>
    <row r="144" spans="28:41" x14ac:dyDescent="0.3">
      <c r="AB144">
        <v>18293.698810000002</v>
      </c>
      <c r="AC144">
        <v>-2.5960000000000001</v>
      </c>
      <c r="AD144">
        <v>-2.952</v>
      </c>
      <c r="AN144">
        <v>10786.5555556</v>
      </c>
      <c r="AO144">
        <v>-7.6541239353200003</v>
      </c>
    </row>
    <row r="145" spans="28:41" x14ac:dyDescent="0.3">
      <c r="AB145">
        <v>18306.564480000001</v>
      </c>
      <c r="AC145">
        <v>-2.762</v>
      </c>
      <c r="AD145">
        <v>-3.5819999999999999</v>
      </c>
      <c r="AN145">
        <v>10800.5</v>
      </c>
      <c r="AO145">
        <v>-7.4443153564899998</v>
      </c>
    </row>
    <row r="146" spans="28:41" x14ac:dyDescent="0.3">
      <c r="AB146">
        <v>18319.43016</v>
      </c>
      <c r="AC146">
        <v>-2.6819999999999999</v>
      </c>
      <c r="AD146">
        <v>-3.7639999999999998</v>
      </c>
      <c r="AN146">
        <v>10814.125</v>
      </c>
      <c r="AO146">
        <v>-7.3663864557799998</v>
      </c>
    </row>
    <row r="147" spans="28:41" x14ac:dyDescent="0.3">
      <c r="AB147">
        <v>18332.295839999999</v>
      </c>
      <c r="AC147">
        <v>-2.72</v>
      </c>
      <c r="AD147">
        <v>-3.41</v>
      </c>
      <c r="AN147">
        <v>10828.666666700001</v>
      </c>
      <c r="AO147">
        <v>-7.0566690298900001</v>
      </c>
    </row>
    <row r="148" spans="28:41" x14ac:dyDescent="0.3">
      <c r="AB148">
        <v>18345.161520000001</v>
      </c>
      <c r="AC148">
        <v>-2.7919999999999998</v>
      </c>
      <c r="AD148">
        <v>-4.399</v>
      </c>
      <c r="AN148">
        <v>10838</v>
      </c>
      <c r="AO148">
        <v>-7.4403190026099999</v>
      </c>
    </row>
    <row r="149" spans="28:41" x14ac:dyDescent="0.3">
      <c r="AB149">
        <v>18358.0272</v>
      </c>
      <c r="AC149">
        <v>-2.8079999999999998</v>
      </c>
      <c r="AD149">
        <v>-3.6640000000000001</v>
      </c>
      <c r="AN149">
        <v>10857.333333299999</v>
      </c>
      <c r="AO149">
        <v>-6.9427729442399997</v>
      </c>
    </row>
    <row r="150" spans="28:41" x14ac:dyDescent="0.3">
      <c r="AB150">
        <v>18383.758559999998</v>
      </c>
      <c r="AC150">
        <v>-2.7639999999999998</v>
      </c>
      <c r="AD150">
        <v>-4.0999999999999996</v>
      </c>
      <c r="AN150">
        <v>10872.333333299999</v>
      </c>
      <c r="AO150">
        <v>-6.8019014698799998</v>
      </c>
    </row>
    <row r="151" spans="28:41" x14ac:dyDescent="0.3">
      <c r="AB151">
        <v>18396.624240000001</v>
      </c>
      <c r="AC151">
        <v>-2.6240000000000001</v>
      </c>
      <c r="AD151">
        <v>-4.0149999999999997</v>
      </c>
      <c r="AN151">
        <v>10890.333333299999</v>
      </c>
      <c r="AO151">
        <v>-6.7549443117600001</v>
      </c>
    </row>
    <row r="152" spans="28:41" x14ac:dyDescent="0.3">
      <c r="AB152">
        <v>18409.48991</v>
      </c>
      <c r="AC152">
        <v>-2.4689999999999999</v>
      </c>
      <c r="AD152">
        <v>-2.4750000000000001</v>
      </c>
      <c r="AN152">
        <v>10908.818181799999</v>
      </c>
      <c r="AO152">
        <v>-7.6411357852100004</v>
      </c>
    </row>
    <row r="153" spans="28:41" x14ac:dyDescent="0.3">
      <c r="AB153">
        <v>18435.221269999998</v>
      </c>
      <c r="AC153">
        <v>-2.56</v>
      </c>
      <c r="AD153">
        <v>-2.919</v>
      </c>
      <c r="AN153">
        <v>10917.4615385</v>
      </c>
      <c r="AO153">
        <v>-7.5821895654400002</v>
      </c>
    </row>
    <row r="154" spans="28:41" x14ac:dyDescent="0.3">
      <c r="AB154">
        <v>18460.95263</v>
      </c>
      <c r="AC154">
        <v>-2.58</v>
      </c>
      <c r="AD154">
        <v>-2.33</v>
      </c>
      <c r="AN154">
        <v>10928.6</v>
      </c>
      <c r="AO154">
        <v>-8.1107073663999998</v>
      </c>
    </row>
    <row r="155" spans="28:41" x14ac:dyDescent="0.3">
      <c r="AB155">
        <v>18486.683990000001</v>
      </c>
      <c r="AC155">
        <v>-2.681</v>
      </c>
      <c r="AD155">
        <v>-1.8029999999999999</v>
      </c>
      <c r="AN155">
        <v>10939.166666700001</v>
      </c>
      <c r="AO155">
        <v>-8.0657483852199992</v>
      </c>
    </row>
    <row r="156" spans="28:41" x14ac:dyDescent="0.3">
      <c r="AB156">
        <v>18512.415349999999</v>
      </c>
      <c r="AC156">
        <v>-2.6669999999999998</v>
      </c>
      <c r="AD156">
        <v>-2.452</v>
      </c>
      <c r="AN156">
        <v>10957.875</v>
      </c>
      <c r="AO156">
        <v>-7.6591193776799997</v>
      </c>
    </row>
    <row r="157" spans="28:41" x14ac:dyDescent="0.3">
      <c r="AB157">
        <v>18538.146700000001</v>
      </c>
      <c r="AC157">
        <v>-2.657</v>
      </c>
      <c r="AD157">
        <v>-3.2440000000000002</v>
      </c>
      <c r="AN157">
        <v>10973.8</v>
      </c>
      <c r="AO157">
        <v>-7.1615733193100004</v>
      </c>
    </row>
    <row r="158" spans="28:41" x14ac:dyDescent="0.3">
      <c r="AB158">
        <v>18563.878059999999</v>
      </c>
      <c r="AC158">
        <v>-2.6469999999999998</v>
      </c>
      <c r="AD158">
        <v>-3.7650000000000001</v>
      </c>
      <c r="AN158">
        <v>10992.875</v>
      </c>
      <c r="AO158">
        <v>-6.7789224350600001</v>
      </c>
    </row>
    <row r="159" spans="28:41" x14ac:dyDescent="0.3">
      <c r="AB159">
        <v>18589.609420000001</v>
      </c>
      <c r="AC159">
        <v>-2.35</v>
      </c>
      <c r="AD159">
        <v>-4.1399999999999997</v>
      </c>
      <c r="AN159">
        <v>11012.8</v>
      </c>
      <c r="AO159">
        <v>-6.6630281724699998</v>
      </c>
    </row>
    <row r="160" spans="28:41" x14ac:dyDescent="0.3">
      <c r="AB160">
        <v>18602.4751</v>
      </c>
      <c r="AC160">
        <v>-2.5710000000000002</v>
      </c>
      <c r="AD160">
        <v>-6.1269999999999998</v>
      </c>
      <c r="AN160">
        <v>11024.888888900001</v>
      </c>
      <c r="AO160">
        <v>-7.02170093342</v>
      </c>
    </row>
    <row r="161" spans="28:41" x14ac:dyDescent="0.3">
      <c r="AB161">
        <v>18615.340779999999</v>
      </c>
      <c r="AC161">
        <v>-2.6640000000000001</v>
      </c>
      <c r="AD161">
        <v>-5.1790000000000003</v>
      </c>
      <c r="AN161">
        <v>11032.833333299999</v>
      </c>
      <c r="AO161">
        <v>-7.5462223804999997</v>
      </c>
    </row>
    <row r="162" spans="28:41" x14ac:dyDescent="0.3">
      <c r="AB162">
        <v>18628.206450000001</v>
      </c>
      <c r="AC162">
        <v>-2.3170000000000002</v>
      </c>
      <c r="AD162">
        <v>-3.6680000000000001</v>
      </c>
      <c r="AN162">
        <v>11044.2857143</v>
      </c>
      <c r="AO162">
        <v>-7.2954511743700001</v>
      </c>
    </row>
    <row r="163" spans="28:41" x14ac:dyDescent="0.3">
      <c r="AB163">
        <v>18641.07213</v>
      </c>
      <c r="AC163">
        <v>-2.492</v>
      </c>
      <c r="AD163">
        <v>-3.5550000000000002</v>
      </c>
      <c r="AN163">
        <v>11060.7142857</v>
      </c>
      <c r="AO163">
        <v>-6.7609388425899999</v>
      </c>
    </row>
    <row r="164" spans="28:41" x14ac:dyDescent="0.3">
      <c r="AB164">
        <v>18666.803489999998</v>
      </c>
      <c r="AC164">
        <v>-2.496</v>
      </c>
      <c r="AD164">
        <v>-3.5049999999999999</v>
      </c>
      <c r="AN164">
        <v>11076.25</v>
      </c>
      <c r="AO164">
        <v>-6.7759251696499998</v>
      </c>
    </row>
    <row r="165" spans="28:41" x14ac:dyDescent="0.3">
      <c r="AB165">
        <v>18679.669170000001</v>
      </c>
      <c r="AC165">
        <v>-2.4350000000000001</v>
      </c>
      <c r="AD165">
        <v>-4.2350000000000003</v>
      </c>
      <c r="AN165">
        <v>11092.4285714</v>
      </c>
      <c r="AO165">
        <v>-7.2704739625999997</v>
      </c>
    </row>
    <row r="166" spans="28:41" x14ac:dyDescent="0.3">
      <c r="AB166">
        <v>18692.53485</v>
      </c>
      <c r="AC166">
        <v>-2.2210000000000001</v>
      </c>
      <c r="AD166">
        <v>-2.8119999999999998</v>
      </c>
      <c r="AN166">
        <v>11107</v>
      </c>
      <c r="AO166">
        <v>-6.6750172341100003</v>
      </c>
    </row>
    <row r="167" spans="28:41" x14ac:dyDescent="0.3">
      <c r="AB167">
        <v>18705.400529999999</v>
      </c>
      <c r="AC167">
        <v>-2.5990000000000002</v>
      </c>
      <c r="AD167">
        <v>-5.0510000000000002</v>
      </c>
      <c r="AN167">
        <v>11131.7142857</v>
      </c>
      <c r="AO167">
        <v>-6.2963627037499998</v>
      </c>
    </row>
    <row r="168" spans="28:41" x14ac:dyDescent="0.3">
      <c r="AB168">
        <v>18718.266210000002</v>
      </c>
      <c r="AC168">
        <v>-2.46</v>
      </c>
      <c r="AD168">
        <v>-3.22</v>
      </c>
      <c r="AN168">
        <v>11145.25</v>
      </c>
      <c r="AO168">
        <v>-6.4831922477499999</v>
      </c>
    </row>
    <row r="169" spans="28:41" x14ac:dyDescent="0.3">
      <c r="AB169">
        <v>18731.131890000001</v>
      </c>
      <c r="AC169">
        <v>-2.5369999999999999</v>
      </c>
      <c r="AD169">
        <v>-2.8410000000000002</v>
      </c>
      <c r="AN169">
        <v>11163.833333299999</v>
      </c>
      <c r="AO169">
        <v>-6.5511302637600002</v>
      </c>
    </row>
    <row r="170" spans="28:41" x14ac:dyDescent="0.3">
      <c r="AB170">
        <v>18743.99756</v>
      </c>
      <c r="AC170">
        <v>-2.6989999999999998</v>
      </c>
      <c r="AD170">
        <v>-3.99</v>
      </c>
      <c r="AN170">
        <v>11183.2857143</v>
      </c>
      <c r="AO170">
        <v>-6.4901858670500001</v>
      </c>
    </row>
    <row r="171" spans="28:41" x14ac:dyDescent="0.3">
      <c r="AB171">
        <v>18756.863239999999</v>
      </c>
      <c r="AC171">
        <v>-2.524</v>
      </c>
      <c r="AD171">
        <v>-2.9</v>
      </c>
      <c r="AN171">
        <v>11200.4</v>
      </c>
      <c r="AO171">
        <v>-6.88482581294</v>
      </c>
    </row>
    <row r="172" spans="28:41" x14ac:dyDescent="0.3">
      <c r="AB172">
        <v>18769.728920000001</v>
      </c>
      <c r="AC172">
        <v>-3.0590000000000002</v>
      </c>
      <c r="AD172">
        <v>-6.726</v>
      </c>
      <c r="AN172">
        <v>11215.875</v>
      </c>
      <c r="AO172">
        <v>-7.1046252764800002</v>
      </c>
    </row>
    <row r="173" spans="28:41" x14ac:dyDescent="0.3">
      <c r="AB173">
        <v>18782.5946</v>
      </c>
      <c r="AC173">
        <v>-2.4710000000000001</v>
      </c>
      <c r="AD173">
        <v>-3.8159999999999998</v>
      </c>
      <c r="AN173">
        <v>11235.7142857</v>
      </c>
      <c r="AO173">
        <v>-7.6421348736799999</v>
      </c>
    </row>
    <row r="174" spans="28:41" x14ac:dyDescent="0.3">
      <c r="AB174">
        <v>18795.460279999999</v>
      </c>
      <c r="AC174">
        <v>-2.625</v>
      </c>
      <c r="AD174">
        <v>-4.2370000000000001</v>
      </c>
      <c r="AN174">
        <v>11252.4</v>
      </c>
      <c r="AO174">
        <v>-7.5432251150800003</v>
      </c>
    </row>
    <row r="175" spans="28:41" x14ac:dyDescent="0.3">
      <c r="AB175">
        <v>18808.325959999998</v>
      </c>
      <c r="AC175">
        <v>-2.5680000000000001</v>
      </c>
      <c r="AD175">
        <v>-2.4140000000000001</v>
      </c>
      <c r="AN175">
        <v>11270</v>
      </c>
      <c r="AO175">
        <v>-7.3743791635499996</v>
      </c>
    </row>
    <row r="176" spans="28:41" x14ac:dyDescent="0.3">
      <c r="AB176">
        <v>18821.191640000001</v>
      </c>
      <c r="AC176">
        <v>-2.8929999999999998</v>
      </c>
      <c r="AD176">
        <v>-2.73</v>
      </c>
      <c r="AN176">
        <v>11286</v>
      </c>
      <c r="AO176">
        <v>-7.5721986807299997</v>
      </c>
    </row>
    <row r="177" spans="28:41" x14ac:dyDescent="0.3">
      <c r="AB177">
        <v>18834.05732</v>
      </c>
      <c r="AC177">
        <v>-2.2919999999999998</v>
      </c>
      <c r="AD177">
        <v>-2.5150000000000001</v>
      </c>
      <c r="AN177">
        <v>11304.125</v>
      </c>
      <c r="AO177">
        <v>-7.7390464553299996</v>
      </c>
    </row>
    <row r="178" spans="28:41" x14ac:dyDescent="0.3">
      <c r="AB178">
        <v>18846.922989999999</v>
      </c>
      <c r="AC178">
        <v>-2.37</v>
      </c>
      <c r="AD178">
        <v>-2.73</v>
      </c>
      <c r="AN178">
        <v>11320.625</v>
      </c>
      <c r="AO178">
        <v>-8.0167930501600004</v>
      </c>
    </row>
    <row r="179" spans="28:41" x14ac:dyDescent="0.3">
      <c r="AB179">
        <v>18872.654350000001</v>
      </c>
      <c r="AC179">
        <v>-2.5539999999999998</v>
      </c>
      <c r="AD179">
        <v>-2.5550000000000002</v>
      </c>
      <c r="AN179">
        <v>11340.879811299999</v>
      </c>
      <c r="AO179">
        <v>-7.9058942299200003</v>
      </c>
    </row>
    <row r="180" spans="28:41" x14ac:dyDescent="0.3">
      <c r="AB180">
        <v>18885.52003</v>
      </c>
      <c r="AC180">
        <v>-2.41</v>
      </c>
      <c r="AD180">
        <v>-2.234</v>
      </c>
      <c r="AN180">
        <v>11350.4148814</v>
      </c>
      <c r="AO180">
        <v>-7.9498541226299997</v>
      </c>
    </row>
    <row r="181" spans="28:41" x14ac:dyDescent="0.3">
      <c r="AB181">
        <v>18898.385709999999</v>
      </c>
      <c r="AC181">
        <v>-2.5299999999999998</v>
      </c>
      <c r="AD181">
        <v>-3.2429999999999999</v>
      </c>
      <c r="AN181">
        <v>11362.322776000001</v>
      </c>
      <c r="AO181">
        <v>-8.0832324334599992</v>
      </c>
    </row>
    <row r="182" spans="28:41" x14ac:dyDescent="0.3">
      <c r="AB182">
        <v>18924.11707</v>
      </c>
      <c r="AC182">
        <v>-2.2629999999999999</v>
      </c>
      <c r="AD182">
        <v>-4.3479999999999999</v>
      </c>
      <c r="AN182">
        <v>11374.3878506</v>
      </c>
      <c r="AO182">
        <v>-7.7020801819100004</v>
      </c>
    </row>
    <row r="183" spans="28:41" x14ac:dyDescent="0.3">
      <c r="AB183">
        <v>18936.982749999999</v>
      </c>
      <c r="AC183">
        <v>-2.246</v>
      </c>
      <c r="AD183">
        <v>-4.8789999999999996</v>
      </c>
      <c r="AN183">
        <v>11387.875477199999</v>
      </c>
      <c r="AO183">
        <v>-8.0068021654500008</v>
      </c>
    </row>
    <row r="184" spans="28:41" x14ac:dyDescent="0.3">
      <c r="AB184">
        <v>18949.848429999998</v>
      </c>
      <c r="AC184">
        <v>-2.484</v>
      </c>
      <c r="AD184">
        <v>-3.952</v>
      </c>
      <c r="AN184">
        <v>11400.921191400001</v>
      </c>
      <c r="AO184">
        <v>-7.6106635868500003</v>
      </c>
    </row>
    <row r="185" spans="28:41" x14ac:dyDescent="0.3">
      <c r="AB185">
        <v>18975.57978</v>
      </c>
      <c r="AC185">
        <v>-2.11</v>
      </c>
      <c r="AD185">
        <v>-2.54</v>
      </c>
      <c r="AN185">
        <v>11413.832545900001</v>
      </c>
      <c r="AO185">
        <v>-7.7620254901500001</v>
      </c>
    </row>
    <row r="186" spans="28:41" x14ac:dyDescent="0.3">
      <c r="AB186">
        <v>18988.445459999999</v>
      </c>
      <c r="AC186">
        <v>-2.3149999999999999</v>
      </c>
      <c r="AD186">
        <v>-1.925</v>
      </c>
      <c r="AN186">
        <v>11427.1513065</v>
      </c>
      <c r="AO186">
        <v>-7.6591193776799997</v>
      </c>
    </row>
    <row r="187" spans="28:41" x14ac:dyDescent="0.3">
      <c r="AB187">
        <v>19001.311140000002</v>
      </c>
      <c r="AC187">
        <v>-2.5419999999999998</v>
      </c>
      <c r="AD187">
        <v>-2.3109999999999999</v>
      </c>
      <c r="AN187">
        <v>11441.719816500001</v>
      </c>
      <c r="AO187">
        <v>-7.81397809062</v>
      </c>
    </row>
    <row r="188" spans="28:41" x14ac:dyDescent="0.3">
      <c r="AB188">
        <v>19014.176820000001</v>
      </c>
      <c r="AC188">
        <v>-2.4390000000000001</v>
      </c>
      <c r="AD188">
        <v>-2.0920000000000001</v>
      </c>
      <c r="AN188">
        <v>11457.4439074</v>
      </c>
      <c r="AO188">
        <v>-7.8998996990999997</v>
      </c>
    </row>
    <row r="189" spans="28:41" x14ac:dyDescent="0.3">
      <c r="AB189">
        <v>19027.0425</v>
      </c>
      <c r="AC189">
        <v>-2.5640000000000001</v>
      </c>
      <c r="AD189">
        <v>-2.8479999999999999</v>
      </c>
      <c r="AN189">
        <v>11467.7243203</v>
      </c>
      <c r="AO189">
        <v>-7.7170665089700003</v>
      </c>
    </row>
    <row r="190" spans="28:41" x14ac:dyDescent="0.3">
      <c r="AB190">
        <v>19039.908179999999</v>
      </c>
      <c r="AC190">
        <v>-2.4249999999999998</v>
      </c>
      <c r="AD190">
        <v>-2.8719999999999999</v>
      </c>
      <c r="AN190">
        <v>11478.0736254</v>
      </c>
      <c r="AO190">
        <v>-7.7195642301499996</v>
      </c>
    </row>
    <row r="191" spans="28:41" x14ac:dyDescent="0.3">
      <c r="AB191">
        <v>19052.773860000001</v>
      </c>
      <c r="AC191">
        <v>-2.5459999999999998</v>
      </c>
      <c r="AD191">
        <v>-1.9950000000000001</v>
      </c>
      <c r="AN191">
        <v>11488.0353545</v>
      </c>
      <c r="AO191">
        <v>-7.7800090826200003</v>
      </c>
    </row>
    <row r="192" spans="28:41" x14ac:dyDescent="0.3">
      <c r="AB192">
        <v>19065.63953</v>
      </c>
      <c r="AC192">
        <v>-3.1709999999999998</v>
      </c>
      <c r="AD192">
        <v>-0.96099999999999997</v>
      </c>
      <c r="AN192">
        <v>11500.4582328</v>
      </c>
      <c r="AO192">
        <v>-7.6411357852100004</v>
      </c>
    </row>
    <row r="193" spans="28:41" x14ac:dyDescent="0.3">
      <c r="AB193">
        <v>19078.505209999999</v>
      </c>
      <c r="AC193">
        <v>-2.6459999999999999</v>
      </c>
      <c r="AD193">
        <v>-2.5779999999999998</v>
      </c>
      <c r="AN193">
        <v>11519.0046368</v>
      </c>
      <c r="AO193">
        <v>-7.6131613080299996</v>
      </c>
    </row>
    <row r="194" spans="28:41" x14ac:dyDescent="0.3">
      <c r="AB194">
        <v>19091.370889999998</v>
      </c>
      <c r="AC194">
        <v>-2.3860000000000001</v>
      </c>
      <c r="AD194">
        <v>-2.2349999999999999</v>
      </c>
      <c r="AN194">
        <v>11547.257462</v>
      </c>
      <c r="AO194">
        <v>-7.5841877423800002</v>
      </c>
    </row>
    <row r="195" spans="28:41" x14ac:dyDescent="0.3">
      <c r="AB195">
        <v>19104.236570000001</v>
      </c>
      <c r="AC195">
        <v>-2.67</v>
      </c>
      <c r="AD195">
        <v>-3.15</v>
      </c>
      <c r="AN195">
        <v>11597.541193999999</v>
      </c>
      <c r="AO195">
        <v>-6.44222962046</v>
      </c>
    </row>
    <row r="196" spans="28:41" x14ac:dyDescent="0.3">
      <c r="AB196">
        <v>19117.10225</v>
      </c>
      <c r="AC196">
        <v>-2.6549999999999998</v>
      </c>
      <c r="AD196">
        <v>-2.6560000000000001</v>
      </c>
      <c r="AN196">
        <v>11624.0304478</v>
      </c>
      <c r="AO196">
        <v>-5.4791083347800003</v>
      </c>
    </row>
    <row r="197" spans="28:41" x14ac:dyDescent="0.3">
      <c r="AB197">
        <v>19129.967929999999</v>
      </c>
      <c r="AC197">
        <v>-2.6869999999999998</v>
      </c>
      <c r="AD197">
        <v>-2.964</v>
      </c>
      <c r="AN197">
        <v>11696.5353731</v>
      </c>
      <c r="AO197">
        <v>-5.5430499968999998</v>
      </c>
    </row>
    <row r="198" spans="28:41" x14ac:dyDescent="0.3">
      <c r="AB198">
        <v>19155.69929</v>
      </c>
      <c r="AC198">
        <v>-2.738</v>
      </c>
      <c r="AD198">
        <v>-2.8690000000000002</v>
      </c>
      <c r="AN198">
        <v>11795.5590909</v>
      </c>
      <c r="AO198">
        <v>-5.0085376651100004</v>
      </c>
    </row>
    <row r="199" spans="28:41" x14ac:dyDescent="0.3">
      <c r="AB199">
        <v>19181.430639999999</v>
      </c>
      <c r="AC199">
        <v>-2.6280000000000001</v>
      </c>
      <c r="AD199">
        <v>-2.7080000000000002</v>
      </c>
      <c r="AN199">
        <v>11889.814029900001</v>
      </c>
      <c r="AO199">
        <v>-5.2283371286499998</v>
      </c>
    </row>
    <row r="200" spans="28:41" x14ac:dyDescent="0.3">
      <c r="AB200">
        <v>19207.162</v>
      </c>
      <c r="AC200">
        <v>-2.738</v>
      </c>
      <c r="AN200">
        <v>11973.3609091</v>
      </c>
      <c r="AO200">
        <v>-4.66684940816</v>
      </c>
    </row>
    <row r="201" spans="28:41" x14ac:dyDescent="0.3">
      <c r="AB201">
        <v>19220.027679999999</v>
      </c>
      <c r="AC201">
        <v>-2.7210000000000001</v>
      </c>
      <c r="AD201">
        <v>-2.5790000000000002</v>
      </c>
      <c r="AN201">
        <v>12072.955909099999</v>
      </c>
      <c r="AO201">
        <v>-3.84959503919</v>
      </c>
    </row>
    <row r="202" spans="28:41" x14ac:dyDescent="0.3">
      <c r="AB202">
        <v>19232.893359999998</v>
      </c>
      <c r="AC202">
        <v>-2.58</v>
      </c>
      <c r="AN202">
        <v>12191.5843284</v>
      </c>
      <c r="AO202">
        <v>-3.63479101801</v>
      </c>
    </row>
    <row r="203" spans="28:41" x14ac:dyDescent="0.3">
      <c r="AB203">
        <v>19258.62472</v>
      </c>
      <c r="AC203">
        <v>-2.883</v>
      </c>
      <c r="AN203">
        <v>12295.179545499999</v>
      </c>
      <c r="AO203">
        <v>-3.5079067822400001</v>
      </c>
    </row>
    <row r="204" spans="28:41" x14ac:dyDescent="0.3">
      <c r="AB204">
        <v>19271.490399999999</v>
      </c>
      <c r="AC204">
        <v>-2.7709999999999999</v>
      </c>
      <c r="AD204">
        <v>-2.7149999999999999</v>
      </c>
      <c r="AN204">
        <v>12372.682686599999</v>
      </c>
      <c r="AO204">
        <v>-3.9355166476600001</v>
      </c>
    </row>
    <row r="205" spans="28:41" x14ac:dyDescent="0.3">
      <c r="AB205">
        <v>19284.356070000002</v>
      </c>
      <c r="AC205">
        <v>-2.79</v>
      </c>
      <c r="AN205">
        <v>12432.8890909</v>
      </c>
      <c r="AO205">
        <v>-3.6997317686</v>
      </c>
    </row>
    <row r="206" spans="28:41" x14ac:dyDescent="0.3">
      <c r="AB206">
        <v>19297.221750000001</v>
      </c>
      <c r="AC206">
        <v>-2.8069999999999999</v>
      </c>
      <c r="AD206">
        <v>-2.5710000000000002</v>
      </c>
      <c r="AN206">
        <v>12494.9768657</v>
      </c>
      <c r="AO206">
        <v>-3.5308858170600002</v>
      </c>
    </row>
    <row r="207" spans="28:41" x14ac:dyDescent="0.3">
      <c r="AB207">
        <v>19310.08743</v>
      </c>
      <c r="AC207">
        <v>-2.8860000000000001</v>
      </c>
      <c r="AN207">
        <v>12567.760606100001</v>
      </c>
      <c r="AO207">
        <v>-3.62380104483</v>
      </c>
    </row>
    <row r="208" spans="28:41" x14ac:dyDescent="0.3">
      <c r="AB208">
        <v>19322.953109999999</v>
      </c>
      <c r="AC208">
        <v>-2.5830000000000002</v>
      </c>
      <c r="AD208">
        <v>-2.4319999999999999</v>
      </c>
      <c r="AN208">
        <v>12639.0810606</v>
      </c>
      <c r="AO208">
        <v>-3.8540909373100001</v>
      </c>
    </row>
    <row r="209" spans="28:41" x14ac:dyDescent="0.3">
      <c r="AB209">
        <v>19335.818790000001</v>
      </c>
      <c r="AC209">
        <v>-2.98</v>
      </c>
      <c r="AN209">
        <v>12716.0404478</v>
      </c>
      <c r="AO209">
        <v>-4.57343463616</v>
      </c>
    </row>
    <row r="210" spans="28:41" x14ac:dyDescent="0.3">
      <c r="AB210">
        <v>19348.68447</v>
      </c>
      <c r="AC210">
        <v>-2.41</v>
      </c>
      <c r="AD210">
        <v>-2.8239999999999998</v>
      </c>
      <c r="AN210">
        <v>12805.808181799999</v>
      </c>
      <c r="AO210">
        <v>-5.1903717667700002</v>
      </c>
    </row>
    <row r="211" spans="28:41" x14ac:dyDescent="0.3">
      <c r="AB211">
        <v>19361.550149999999</v>
      </c>
      <c r="AC211">
        <v>-2.97</v>
      </c>
      <c r="AN211">
        <v>12871.6125373</v>
      </c>
      <c r="AO211">
        <v>-5.6439579324300002</v>
      </c>
    </row>
    <row r="212" spans="28:41" x14ac:dyDescent="0.3">
      <c r="AB212">
        <v>19387.281510000001</v>
      </c>
      <c r="AC212">
        <v>-2.6389999999999998</v>
      </c>
      <c r="AN212">
        <v>12894.3779104</v>
      </c>
      <c r="AO212">
        <v>-5.6354656804300003</v>
      </c>
    </row>
    <row r="213" spans="28:41" x14ac:dyDescent="0.3">
      <c r="AB213">
        <v>19400.14718</v>
      </c>
      <c r="AC213">
        <v>-2.6619999999999999</v>
      </c>
      <c r="AD213">
        <v>-2.778</v>
      </c>
      <c r="AN213">
        <v>12911.6078788</v>
      </c>
      <c r="AO213">
        <v>-5.3152578255899998</v>
      </c>
    </row>
    <row r="214" spans="28:41" x14ac:dyDescent="0.3">
      <c r="AB214">
        <v>19413.012859999999</v>
      </c>
      <c r="AC214">
        <v>-2.6840000000000002</v>
      </c>
      <c r="AN214">
        <v>12926.848955199999</v>
      </c>
      <c r="AO214">
        <v>-6.0236115512700001</v>
      </c>
    </row>
    <row r="215" spans="28:41" x14ac:dyDescent="0.3">
      <c r="AB215">
        <v>19425.878540000002</v>
      </c>
      <c r="AC215">
        <v>-2.907</v>
      </c>
      <c r="AD215">
        <v>-2.6989999999999998</v>
      </c>
      <c r="AN215">
        <v>12944.065151500001</v>
      </c>
      <c r="AO215">
        <v>-6.2838740978600001</v>
      </c>
    </row>
    <row r="216" spans="28:41" x14ac:dyDescent="0.3">
      <c r="AB216">
        <v>19438.74422</v>
      </c>
      <c r="AC216">
        <v>-2.786</v>
      </c>
      <c r="AD216">
        <v>-3.95</v>
      </c>
      <c r="AN216">
        <v>12963.3339394</v>
      </c>
      <c r="AO216">
        <v>-5.8607601305500001</v>
      </c>
    </row>
    <row r="217" spans="28:41" x14ac:dyDescent="0.3">
      <c r="AB217">
        <v>19464.475579999998</v>
      </c>
      <c r="AC217">
        <v>-3.0670000000000002</v>
      </c>
      <c r="AD217">
        <v>-2.0790000000000002</v>
      </c>
      <c r="AN217">
        <v>12973.0718069</v>
      </c>
      <c r="AO217">
        <v>-5.7708421681999997</v>
      </c>
    </row>
    <row r="218" spans="28:41" x14ac:dyDescent="0.3">
      <c r="AB218">
        <v>19490.20694</v>
      </c>
      <c r="AC218">
        <v>-2.63</v>
      </c>
      <c r="AD218">
        <v>-4.08</v>
      </c>
      <c r="AN218">
        <v>12978.932440799999</v>
      </c>
      <c r="AO218">
        <v>-5.8667546613799999</v>
      </c>
    </row>
    <row r="219" spans="28:41" x14ac:dyDescent="0.3">
      <c r="AB219">
        <v>19515.938289999998</v>
      </c>
      <c r="AC219">
        <v>-2.6339999999999999</v>
      </c>
      <c r="AD219">
        <v>-3.6480000000000001</v>
      </c>
      <c r="AN219">
        <v>12985.0278953</v>
      </c>
      <c r="AO219">
        <v>-5.9037209347899999</v>
      </c>
    </row>
    <row r="220" spans="28:41" x14ac:dyDescent="0.3">
      <c r="AB220">
        <v>19541.66965</v>
      </c>
      <c r="AC220">
        <v>-2.5550000000000002</v>
      </c>
      <c r="AD220">
        <v>-2.66</v>
      </c>
      <c r="AN220">
        <v>12991.5910296</v>
      </c>
      <c r="AO220">
        <v>-5.9456826505600002</v>
      </c>
    </row>
    <row r="221" spans="28:41" x14ac:dyDescent="0.3">
      <c r="AB221">
        <v>19567.401010000001</v>
      </c>
      <c r="AC221">
        <v>-2.7040000000000002</v>
      </c>
      <c r="AD221">
        <v>-3.5339999999999998</v>
      </c>
      <c r="AN221">
        <v>12997.484435300001</v>
      </c>
      <c r="AO221">
        <v>-5.86925238255</v>
      </c>
    </row>
    <row r="222" spans="28:41" x14ac:dyDescent="0.3">
      <c r="AB222">
        <v>19593.132369999999</v>
      </c>
      <c r="AC222">
        <v>-2.9169999999999998</v>
      </c>
      <c r="AD222">
        <v>-4.5220000000000002</v>
      </c>
      <c r="AN222">
        <v>13004.091791000001</v>
      </c>
      <c r="AO222">
        <v>-6.1874620604499997</v>
      </c>
    </row>
    <row r="223" spans="28:41" x14ac:dyDescent="0.3">
      <c r="AB223">
        <v>19618.863720000001</v>
      </c>
      <c r="AC223">
        <v>-2.72</v>
      </c>
      <c r="AD223">
        <v>-4.0599999999999996</v>
      </c>
      <c r="AN223">
        <v>13015.891194</v>
      </c>
      <c r="AO223">
        <v>-5.62397616302</v>
      </c>
    </row>
    <row r="224" spans="28:41" x14ac:dyDescent="0.3">
      <c r="AB224">
        <v>19690.407749999998</v>
      </c>
      <c r="AC224">
        <v>-2.9550000000000001</v>
      </c>
      <c r="AD224">
        <v>-2.9409999999999998</v>
      </c>
      <c r="AN224">
        <v>13029.0309091</v>
      </c>
      <c r="AO224">
        <v>-5.7618503719599996</v>
      </c>
    </row>
    <row r="225" spans="28:41" x14ac:dyDescent="0.3">
      <c r="AB225">
        <v>19761.951779999999</v>
      </c>
      <c r="AC225">
        <v>-2.8340000000000001</v>
      </c>
      <c r="AD225">
        <v>-3.9540000000000002</v>
      </c>
      <c r="AN225">
        <v>13054.9180597</v>
      </c>
      <c r="AO225">
        <v>-6.1445012562099999</v>
      </c>
    </row>
    <row r="226" spans="28:41" x14ac:dyDescent="0.3">
      <c r="AB226">
        <v>19833.49581</v>
      </c>
      <c r="AC226">
        <v>-2.8239999999999998</v>
      </c>
      <c r="AD226">
        <v>-3.202</v>
      </c>
      <c r="AN226">
        <v>13077.997878800001</v>
      </c>
      <c r="AO226">
        <v>-5.2083553592399996</v>
      </c>
    </row>
    <row r="227" spans="28:41" x14ac:dyDescent="0.3">
      <c r="AB227">
        <v>19905.039840000001</v>
      </c>
      <c r="AC227">
        <v>-3.149</v>
      </c>
      <c r="AD227">
        <v>-4.8949999999999996</v>
      </c>
      <c r="AN227">
        <v>13097.547164199999</v>
      </c>
      <c r="AO227">
        <v>-5.7828312298500002</v>
      </c>
    </row>
    <row r="228" spans="28:41" x14ac:dyDescent="0.3">
      <c r="AB228">
        <v>19976.583869999999</v>
      </c>
      <c r="AC228">
        <v>-3</v>
      </c>
      <c r="AD228">
        <v>-5.87</v>
      </c>
      <c r="AN228">
        <v>13115.287575799999</v>
      </c>
      <c r="AO228">
        <v>-5.3282459757099998</v>
      </c>
    </row>
    <row r="229" spans="28:41" x14ac:dyDescent="0.3">
      <c r="AB229">
        <v>20012.355879999999</v>
      </c>
      <c r="AC229">
        <v>-2.8279999999999998</v>
      </c>
      <c r="AD229">
        <v>-4.5229999999999997</v>
      </c>
      <c r="AN229">
        <v>13135.896363600001</v>
      </c>
      <c r="AO229">
        <v>-5.6389624900799999</v>
      </c>
    </row>
    <row r="230" spans="28:41" x14ac:dyDescent="0.3">
      <c r="AB230">
        <v>20048.127899999999</v>
      </c>
      <c r="AC230">
        <v>-3.266</v>
      </c>
      <c r="AD230">
        <v>-5.3209999999999997</v>
      </c>
      <c r="AN230">
        <v>13157.738656699999</v>
      </c>
      <c r="AO230">
        <v>-5.9142113637299998</v>
      </c>
    </row>
    <row r="231" spans="28:41" x14ac:dyDescent="0.3">
      <c r="AB231">
        <v>20083.89991</v>
      </c>
      <c r="AC231">
        <v>-2.82</v>
      </c>
      <c r="AD231">
        <v>-4.452</v>
      </c>
      <c r="AN231">
        <v>13177.3471642</v>
      </c>
      <c r="AO231">
        <v>-5.6229770745499996</v>
      </c>
    </row>
    <row r="232" spans="28:41" x14ac:dyDescent="0.3">
      <c r="AB232">
        <v>20119.67193</v>
      </c>
      <c r="AC232">
        <v>-2.9020000000000001</v>
      </c>
      <c r="AD232">
        <v>-3.6520000000000001</v>
      </c>
      <c r="AN232">
        <v>13194.811060599999</v>
      </c>
      <c r="AO232">
        <v>-5.4051757879500002</v>
      </c>
    </row>
    <row r="233" spans="28:41" x14ac:dyDescent="0.3">
      <c r="AB233">
        <v>20191.215960000001</v>
      </c>
      <c r="AC233">
        <v>-2.7280000000000002</v>
      </c>
      <c r="AD233">
        <v>-3.8170000000000002</v>
      </c>
      <c r="AN233">
        <v>13213.4562687</v>
      </c>
      <c r="AO233">
        <v>-5.5190718735999997</v>
      </c>
    </row>
    <row r="234" spans="28:41" x14ac:dyDescent="0.3">
      <c r="AB234">
        <v>20226.987969999998</v>
      </c>
      <c r="AC234">
        <v>-2.496</v>
      </c>
      <c r="AD234">
        <v>-3.516</v>
      </c>
      <c r="AN234">
        <v>13229.0986567</v>
      </c>
      <c r="AO234">
        <v>-5.7488622218399996</v>
      </c>
    </row>
    <row r="235" spans="28:41" x14ac:dyDescent="0.3">
      <c r="AB235">
        <v>20262.759989999999</v>
      </c>
      <c r="AC235">
        <v>-2.92</v>
      </c>
      <c r="AD235">
        <v>-4.9320000000000004</v>
      </c>
      <c r="AN235">
        <v>13244.1914925</v>
      </c>
      <c r="AO235">
        <v>-5.7858284952599996</v>
      </c>
    </row>
    <row r="236" spans="28:41" x14ac:dyDescent="0.3">
      <c r="AB236">
        <v>20298.531999999999</v>
      </c>
      <c r="AC236">
        <v>-2.5299999999999998</v>
      </c>
      <c r="AD236">
        <v>-3.863</v>
      </c>
      <c r="AN236">
        <v>13280.2243284</v>
      </c>
      <c r="AO236">
        <v>-5.4461384152500001</v>
      </c>
    </row>
    <row r="237" spans="28:41" x14ac:dyDescent="0.3">
      <c r="AB237">
        <v>20334.30402</v>
      </c>
      <c r="AC237">
        <v>-2.68</v>
      </c>
      <c r="AD237">
        <v>-3.95</v>
      </c>
      <c r="AN237">
        <v>13297.1864179</v>
      </c>
      <c r="AO237">
        <v>-5.6159834552500003</v>
      </c>
    </row>
    <row r="238" spans="28:41" x14ac:dyDescent="0.3">
      <c r="AB238">
        <v>20405.848050000001</v>
      </c>
      <c r="AC238">
        <v>-2.6629999999999998</v>
      </c>
      <c r="AD238">
        <v>-3.8069999999999999</v>
      </c>
      <c r="AN238">
        <v>13315.3566667</v>
      </c>
      <c r="AO238">
        <v>-5.5310609352500002</v>
      </c>
    </row>
    <row r="239" spans="28:41" x14ac:dyDescent="0.3">
      <c r="AB239">
        <v>20477.392070000002</v>
      </c>
      <c r="AC239">
        <v>-2.7639999999999998</v>
      </c>
      <c r="AD239">
        <v>-2.9849999999999999</v>
      </c>
      <c r="AN239">
        <v>13332.9848485</v>
      </c>
      <c r="AO239">
        <v>-5.9086876133099997</v>
      </c>
    </row>
    <row r="240" spans="28:41" x14ac:dyDescent="0.3">
      <c r="AB240">
        <v>20548.936099999999</v>
      </c>
      <c r="AC240">
        <v>-2.8540000000000001</v>
      </c>
      <c r="AD240">
        <v>-3.3940000000000001</v>
      </c>
      <c r="AN240">
        <v>13349.123582099999</v>
      </c>
      <c r="AO240">
        <v>-5.4761222701100003</v>
      </c>
    </row>
    <row r="241" spans="28:41" x14ac:dyDescent="0.3">
      <c r="AB241">
        <v>20584.708119999999</v>
      </c>
      <c r="AC241">
        <v>-2.94</v>
      </c>
      <c r="AD241">
        <v>-4.343</v>
      </c>
      <c r="AN241">
        <v>13366.7868182</v>
      </c>
      <c r="AO241">
        <v>-5.4530921708199998</v>
      </c>
    </row>
    <row r="242" spans="28:41" x14ac:dyDescent="0.3">
      <c r="AB242">
        <v>20620.48013</v>
      </c>
      <c r="AC242">
        <v>-2.8039999999999998</v>
      </c>
      <c r="AD242">
        <v>-3.6509999999999998</v>
      </c>
      <c r="AN242">
        <v>13386.6986567</v>
      </c>
      <c r="AO242">
        <v>-5.4100358982400003</v>
      </c>
    </row>
    <row r="243" spans="28:41" x14ac:dyDescent="0.3">
      <c r="AB243">
        <v>20656.25215</v>
      </c>
      <c r="AC243">
        <v>-2.6349999999999998</v>
      </c>
      <c r="AD243">
        <v>-4.6660000000000004</v>
      </c>
      <c r="AN243">
        <v>13406.2492537</v>
      </c>
      <c r="AO243">
        <v>-5.5932753839</v>
      </c>
    </row>
    <row r="244" spans="28:41" x14ac:dyDescent="0.3">
      <c r="AB244">
        <v>20692.024160000001</v>
      </c>
      <c r="AC244">
        <v>-2.36</v>
      </c>
      <c r="AD244">
        <v>-2.52</v>
      </c>
      <c r="AN244">
        <v>13428.8119403</v>
      </c>
      <c r="AO244">
        <v>-6.3382490305100001</v>
      </c>
    </row>
    <row r="245" spans="28:41" x14ac:dyDescent="0.3">
      <c r="AB245">
        <v>20727.796180000001</v>
      </c>
      <c r="AC245">
        <v>-2.3519999999999999</v>
      </c>
      <c r="AD245">
        <v>-3.24</v>
      </c>
      <c r="AN245">
        <v>13451.8379104</v>
      </c>
      <c r="AO245">
        <v>-5.5462138766500004</v>
      </c>
    </row>
    <row r="246" spans="28:41" x14ac:dyDescent="0.3">
      <c r="AB246">
        <v>20763.568190000002</v>
      </c>
      <c r="AC246">
        <v>-2.9729999999999999</v>
      </c>
      <c r="AD246">
        <v>-5.27</v>
      </c>
      <c r="AN246">
        <v>13492.062878799999</v>
      </c>
      <c r="AO246">
        <v>-5.3159128837400003</v>
      </c>
    </row>
    <row r="247" spans="28:41" x14ac:dyDescent="0.3">
      <c r="AB247">
        <v>20799.340209999998</v>
      </c>
      <c r="AC247">
        <v>-2.5339999999999998</v>
      </c>
      <c r="AD247">
        <v>-2.7280000000000002</v>
      </c>
      <c r="AN247">
        <v>13678.7977612</v>
      </c>
      <c r="AO247">
        <v>-5.4030267375800003</v>
      </c>
    </row>
    <row r="248" spans="28:41" x14ac:dyDescent="0.3">
      <c r="AB248">
        <v>20835.112219999999</v>
      </c>
      <c r="AC248">
        <v>-2.7589999999999999</v>
      </c>
      <c r="AD248">
        <v>-2.3919999999999999</v>
      </c>
      <c r="AN248">
        <v>13956.7469697</v>
      </c>
      <c r="AO248">
        <v>-4.7401604014799998</v>
      </c>
    </row>
    <row r="249" spans="28:41" x14ac:dyDescent="0.3">
      <c r="AB249">
        <v>20870.884239999999</v>
      </c>
      <c r="AC249">
        <v>-2.5819999999999999</v>
      </c>
      <c r="AD249">
        <v>-2.7440000000000002</v>
      </c>
      <c r="AN249">
        <v>14279.325000000001</v>
      </c>
      <c r="AO249">
        <v>-3.8630140111200002</v>
      </c>
    </row>
    <row r="250" spans="28:41" x14ac:dyDescent="0.3">
      <c r="AB250">
        <v>20906.65625</v>
      </c>
      <c r="AC250">
        <v>-2.851</v>
      </c>
      <c r="AD250">
        <v>-2.6259999999999999</v>
      </c>
      <c r="AN250">
        <v>14669.720895500001</v>
      </c>
      <c r="AO250">
        <v>-3.3092903194800001</v>
      </c>
    </row>
    <row r="251" spans="28:41" x14ac:dyDescent="0.3">
      <c r="AB251">
        <v>20942.428260000001</v>
      </c>
      <c r="AC251">
        <v>-2.3660000000000001</v>
      </c>
      <c r="AD251">
        <v>-2.1869999999999998</v>
      </c>
    </row>
    <row r="252" spans="28:41" x14ac:dyDescent="0.3">
      <c r="AB252">
        <v>20978.200280000001</v>
      </c>
      <c r="AC252">
        <v>-2.706</v>
      </c>
      <c r="AD252">
        <v>-2.5179999999999998</v>
      </c>
    </row>
    <row r="253" spans="28:41" x14ac:dyDescent="0.3">
      <c r="AB253">
        <v>21013.972290000002</v>
      </c>
      <c r="AC253">
        <v>-2.423</v>
      </c>
      <c r="AD253">
        <v>-1.9390000000000001</v>
      </c>
    </row>
    <row r="254" spans="28:41" x14ac:dyDescent="0.3">
      <c r="AB254">
        <v>21049.744309999998</v>
      </c>
      <c r="AC254">
        <v>-2.59</v>
      </c>
      <c r="AD254">
        <v>-3.15</v>
      </c>
    </row>
    <row r="255" spans="28:41" x14ac:dyDescent="0.3">
      <c r="AB255">
        <v>21085.516319999999</v>
      </c>
      <c r="AC255">
        <v>-2.5670000000000002</v>
      </c>
      <c r="AD255">
        <v>-3.008</v>
      </c>
    </row>
    <row r="256" spans="28:41" x14ac:dyDescent="0.3">
      <c r="AB256">
        <v>21121.288339999999</v>
      </c>
      <c r="AC256">
        <v>-2.6080000000000001</v>
      </c>
      <c r="AD256">
        <v>-3.1040000000000001</v>
      </c>
    </row>
    <row r="257" spans="28:30" x14ac:dyDescent="0.3">
      <c r="AB257">
        <v>21157.06035</v>
      </c>
      <c r="AC257">
        <v>-2.536</v>
      </c>
      <c r="AD257">
        <v>-2.5979999999999999</v>
      </c>
    </row>
    <row r="258" spans="28:30" x14ac:dyDescent="0.3">
      <c r="AB258">
        <v>21192.83237</v>
      </c>
      <c r="AC258">
        <v>-2.6829999999999998</v>
      </c>
      <c r="AD258">
        <v>-3.012</v>
      </c>
    </row>
    <row r="259" spans="28:30" x14ac:dyDescent="0.3">
      <c r="AB259">
        <v>21228.604380000001</v>
      </c>
      <c r="AC259">
        <v>-2.6379999999999999</v>
      </c>
      <c r="AD259">
        <v>-2.8759999999999999</v>
      </c>
    </row>
    <row r="260" spans="28:30" x14ac:dyDescent="0.3">
      <c r="AB260">
        <v>21264.376400000001</v>
      </c>
      <c r="AC260">
        <v>-2.5859999999999999</v>
      </c>
      <c r="AD260">
        <v>-3.7650000000000001</v>
      </c>
    </row>
    <row r="261" spans="28:30" x14ac:dyDescent="0.3">
      <c r="AB261">
        <v>21300.148410000002</v>
      </c>
      <c r="AC261">
        <v>-2.552</v>
      </c>
      <c r="AD261">
        <v>-3.524</v>
      </c>
    </row>
    <row r="262" spans="28:30" x14ac:dyDescent="0.3">
      <c r="AB262">
        <v>21335.920419999999</v>
      </c>
      <c r="AC262">
        <v>-2.7549999999999999</v>
      </c>
      <c r="AD262">
        <v>-3.637</v>
      </c>
    </row>
    <row r="263" spans="28:30" x14ac:dyDescent="0.3">
      <c r="AB263">
        <v>21371.692439999999</v>
      </c>
      <c r="AC263">
        <v>-2.6920000000000002</v>
      </c>
      <c r="AD263">
        <v>-2.669</v>
      </c>
    </row>
    <row r="264" spans="28:30" x14ac:dyDescent="0.3">
      <c r="AB264">
        <v>21407.464449999999</v>
      </c>
      <c r="AC264">
        <v>-2.58</v>
      </c>
      <c r="AD264">
        <v>-3.92</v>
      </c>
    </row>
    <row r="265" spans="28:30" x14ac:dyDescent="0.3">
      <c r="AB265">
        <v>21443.23647</v>
      </c>
      <c r="AC265">
        <v>-2.7320000000000002</v>
      </c>
      <c r="AD265">
        <v>-4.4749999999999996</v>
      </c>
    </row>
    <row r="266" spans="28:30" x14ac:dyDescent="0.3">
      <c r="AB266">
        <v>21479.00848</v>
      </c>
      <c r="AC266">
        <v>-3.0059999999999998</v>
      </c>
      <c r="AD266">
        <v>-3.9980000000000002</v>
      </c>
    </row>
    <row r="267" spans="28:30" x14ac:dyDescent="0.3">
      <c r="AB267">
        <v>21514.780500000001</v>
      </c>
      <c r="AC267">
        <v>-2.847</v>
      </c>
      <c r="AD267">
        <v>-4.6790000000000003</v>
      </c>
    </row>
    <row r="268" spans="28:30" x14ac:dyDescent="0.3">
      <c r="AB268">
        <v>21550.552510000001</v>
      </c>
      <c r="AC268">
        <v>-2.8239999999999998</v>
      </c>
      <c r="AD268">
        <v>-3.9079999999999999</v>
      </c>
    </row>
    <row r="269" spans="28:30" x14ac:dyDescent="0.3">
      <c r="AB269">
        <v>21586.324530000002</v>
      </c>
      <c r="AC269">
        <v>-2.669</v>
      </c>
      <c r="AD269">
        <v>-2.6920000000000002</v>
      </c>
    </row>
    <row r="270" spans="28:30" x14ac:dyDescent="0.3">
      <c r="AB270">
        <v>21622.096539999999</v>
      </c>
      <c r="AC270">
        <v>-2.7040000000000002</v>
      </c>
      <c r="AD270">
        <v>-2.2400000000000002</v>
      </c>
    </row>
    <row r="271" spans="28:30" x14ac:dyDescent="0.3">
      <c r="AB271">
        <v>21657.868559999999</v>
      </c>
      <c r="AC271">
        <v>-2.508</v>
      </c>
      <c r="AD271">
        <v>-2.048</v>
      </c>
    </row>
    <row r="272" spans="28:30" x14ac:dyDescent="0.3">
      <c r="AB272">
        <v>21693.64057</v>
      </c>
      <c r="AC272">
        <v>-2.5630000000000002</v>
      </c>
      <c r="AD272">
        <v>-3.0350000000000001</v>
      </c>
    </row>
    <row r="273" spans="28:30" x14ac:dyDescent="0.3">
      <c r="AB273">
        <v>21729.41259</v>
      </c>
      <c r="AC273">
        <v>-2.423</v>
      </c>
      <c r="AD273">
        <v>-3.3490000000000002</v>
      </c>
    </row>
    <row r="274" spans="28:30" x14ac:dyDescent="0.3">
      <c r="AB274">
        <v>21765.184600000001</v>
      </c>
      <c r="AC274">
        <v>-2.5499999999999998</v>
      </c>
      <c r="AD274">
        <v>-2.94</v>
      </c>
    </row>
    <row r="275" spans="28:30" x14ac:dyDescent="0.3">
      <c r="AB275">
        <v>21800.956610000001</v>
      </c>
      <c r="AC275">
        <v>-2.5569999999999999</v>
      </c>
      <c r="AD275">
        <v>-2.42</v>
      </c>
    </row>
    <row r="276" spans="28:30" x14ac:dyDescent="0.3">
      <c r="AB276">
        <v>21836.728630000001</v>
      </c>
      <c r="AC276">
        <v>-2.73</v>
      </c>
      <c r="AD276">
        <v>-2.415</v>
      </c>
    </row>
    <row r="277" spans="28:30" x14ac:dyDescent="0.3">
      <c r="AB277">
        <v>21872.500639999998</v>
      </c>
      <c r="AC277">
        <v>-2.6869999999999998</v>
      </c>
      <c r="AD277">
        <v>-1.774</v>
      </c>
    </row>
    <row r="278" spans="28:30" x14ac:dyDescent="0.3">
      <c r="AB278">
        <v>21908.272659999999</v>
      </c>
      <c r="AC278">
        <v>-2.738</v>
      </c>
      <c r="AD278">
        <v>-2.1659999999999999</v>
      </c>
    </row>
    <row r="279" spans="28:30" x14ac:dyDescent="0.3">
      <c r="AB279">
        <v>21944.044669999999</v>
      </c>
      <c r="AC279">
        <v>-2.7469999999999999</v>
      </c>
      <c r="AD279">
        <v>-2.8559999999999999</v>
      </c>
    </row>
    <row r="280" spans="28:30" x14ac:dyDescent="0.3">
      <c r="AB280">
        <v>21979.81669</v>
      </c>
      <c r="AC280">
        <v>-2.8210000000000002</v>
      </c>
      <c r="AD280">
        <v>-2.7549999999999999</v>
      </c>
    </row>
    <row r="281" spans="28:30" x14ac:dyDescent="0.3">
      <c r="AB281">
        <v>22015.5887</v>
      </c>
      <c r="AC281">
        <v>-2.843</v>
      </c>
      <c r="AD281">
        <v>-4.8620000000000001</v>
      </c>
    </row>
    <row r="282" spans="28:30" x14ac:dyDescent="0.3">
      <c r="AB282">
        <v>22051.360720000001</v>
      </c>
      <c r="AC282">
        <v>-3.0030000000000001</v>
      </c>
      <c r="AD282">
        <v>-4.3330000000000002</v>
      </c>
    </row>
    <row r="283" spans="28:30" x14ac:dyDescent="0.3">
      <c r="AB283">
        <v>22087.132730000001</v>
      </c>
      <c r="AC283">
        <v>-2.718</v>
      </c>
      <c r="AD283">
        <v>-4.024</v>
      </c>
    </row>
    <row r="284" spans="28:30" x14ac:dyDescent="0.3">
      <c r="AB284">
        <v>22122.904750000002</v>
      </c>
      <c r="AC284">
        <v>-2.74</v>
      </c>
      <c r="AD284">
        <v>-4.55</v>
      </c>
    </row>
    <row r="285" spans="28:30" x14ac:dyDescent="0.3">
      <c r="AB285">
        <v>22158.676759999998</v>
      </c>
      <c r="AC285">
        <v>-2.6280000000000001</v>
      </c>
      <c r="AD285">
        <v>-4.056</v>
      </c>
    </row>
    <row r="286" spans="28:30" x14ac:dyDescent="0.3">
      <c r="AB286">
        <v>22194.448769999999</v>
      </c>
      <c r="AC286">
        <v>-2.7320000000000002</v>
      </c>
      <c r="AD286">
        <v>-4.3559999999999999</v>
      </c>
    </row>
    <row r="287" spans="28:30" x14ac:dyDescent="0.3">
      <c r="AB287">
        <v>22230.220789999999</v>
      </c>
      <c r="AC287">
        <v>-2.6019999999999999</v>
      </c>
      <c r="AD287">
        <v>-4.41</v>
      </c>
    </row>
    <row r="288" spans="28:30" x14ac:dyDescent="0.3">
      <c r="AB288">
        <v>22265.9928</v>
      </c>
      <c r="AC288">
        <v>-2.7549999999999999</v>
      </c>
      <c r="AD288">
        <v>-4.1559999999999997</v>
      </c>
    </row>
    <row r="289" spans="28:30" x14ac:dyDescent="0.3">
      <c r="AB289">
        <v>22301.76482</v>
      </c>
      <c r="AC289">
        <v>-2.6150000000000002</v>
      </c>
      <c r="AD289">
        <v>-4.5410000000000004</v>
      </c>
    </row>
    <row r="290" spans="28:30" x14ac:dyDescent="0.3">
      <c r="AB290">
        <v>22337.536830000001</v>
      </c>
      <c r="AC290">
        <v>-2.339</v>
      </c>
      <c r="AD290">
        <v>-3.85</v>
      </c>
    </row>
    <row r="291" spans="28:30" x14ac:dyDescent="0.3">
      <c r="AB291">
        <v>22373.308850000001</v>
      </c>
      <c r="AC291">
        <v>-2.202</v>
      </c>
      <c r="AD291">
        <v>-3.6890000000000001</v>
      </c>
    </row>
    <row r="292" spans="28:30" x14ac:dyDescent="0.3">
      <c r="AB292">
        <v>22409.080859999998</v>
      </c>
      <c r="AC292">
        <v>-2.2469999999999999</v>
      </c>
      <c r="AD292">
        <v>-3.0779999999999998</v>
      </c>
    </row>
    <row r="293" spans="28:30" x14ac:dyDescent="0.3">
      <c r="AB293">
        <v>22444.852879999999</v>
      </c>
      <c r="AC293">
        <v>-2.1579999999999999</v>
      </c>
      <c r="AD293">
        <v>-2.8809999999999998</v>
      </c>
    </row>
    <row r="294" spans="28:30" x14ac:dyDescent="0.3">
      <c r="AB294">
        <v>22480.624889999999</v>
      </c>
      <c r="AC294">
        <v>-2.34</v>
      </c>
      <c r="AD294">
        <v>-2.72</v>
      </c>
    </row>
    <row r="295" spans="28:30" x14ac:dyDescent="0.3">
      <c r="AB295">
        <v>22496.538949999998</v>
      </c>
      <c r="AC295">
        <v>-2.331</v>
      </c>
      <c r="AD295">
        <v>-2.4249999999999998</v>
      </c>
    </row>
    <row r="296" spans="28:30" x14ac:dyDescent="0.3">
      <c r="AB296">
        <v>22512.453000000001</v>
      </c>
      <c r="AC296">
        <v>-2.5470000000000002</v>
      </c>
      <c r="AD296">
        <v>-2.2480000000000002</v>
      </c>
    </row>
    <row r="297" spans="28:30" x14ac:dyDescent="0.3">
      <c r="AB297">
        <v>22528.36706</v>
      </c>
      <c r="AC297">
        <v>-2.4390000000000001</v>
      </c>
      <c r="AD297">
        <v>-2.5760000000000001</v>
      </c>
    </row>
    <row r="298" spans="28:30" x14ac:dyDescent="0.3">
      <c r="AB298">
        <v>22544.28111</v>
      </c>
      <c r="AC298">
        <v>-2.653</v>
      </c>
      <c r="AD298">
        <v>-2.218</v>
      </c>
    </row>
    <row r="299" spans="28:30" x14ac:dyDescent="0.3">
      <c r="AB299">
        <v>22560.195169999999</v>
      </c>
      <c r="AC299">
        <v>-2.6110000000000002</v>
      </c>
      <c r="AD299">
        <v>-2.3050000000000002</v>
      </c>
    </row>
    <row r="300" spans="28:30" x14ac:dyDescent="0.3">
      <c r="AB300">
        <v>22576.109219999998</v>
      </c>
      <c r="AC300">
        <v>-2.7029999999999998</v>
      </c>
      <c r="AD300">
        <v>-3.141</v>
      </c>
    </row>
    <row r="301" spans="28:30" x14ac:dyDescent="0.3">
      <c r="AB301">
        <v>22592.023280000001</v>
      </c>
      <c r="AC301">
        <v>-2.67</v>
      </c>
      <c r="AD301">
        <v>-1.8839999999999999</v>
      </c>
    </row>
    <row r="302" spans="28:30" x14ac:dyDescent="0.3">
      <c r="AB302">
        <v>22607.937330000001</v>
      </c>
      <c r="AC302">
        <v>-2.7170000000000001</v>
      </c>
      <c r="AD302">
        <v>-2.69</v>
      </c>
    </row>
    <row r="303" spans="28:30" x14ac:dyDescent="0.3">
      <c r="AB303">
        <v>22623.85139</v>
      </c>
      <c r="AC303">
        <v>-2.4670000000000001</v>
      </c>
      <c r="AD303">
        <v>-2.42</v>
      </c>
    </row>
    <row r="304" spans="28:30" x14ac:dyDescent="0.3">
      <c r="AB304">
        <v>22639.765439999999</v>
      </c>
      <c r="AC304">
        <v>-2.33</v>
      </c>
      <c r="AD304">
        <v>-3.01</v>
      </c>
    </row>
    <row r="305" spans="28:30" x14ac:dyDescent="0.3">
      <c r="AB305">
        <v>22655.679499999998</v>
      </c>
      <c r="AC305">
        <v>-2.6259999999999999</v>
      </c>
      <c r="AD305">
        <v>-2.76</v>
      </c>
    </row>
    <row r="306" spans="28:30" x14ac:dyDescent="0.3">
      <c r="AB306">
        <v>22671.593550000001</v>
      </c>
      <c r="AC306">
        <v>-2.9580000000000002</v>
      </c>
      <c r="AD306">
        <v>-3.4049999999999998</v>
      </c>
    </row>
    <row r="307" spans="28:30" x14ac:dyDescent="0.3">
      <c r="AB307">
        <v>22687.507610000001</v>
      </c>
      <c r="AC307">
        <v>-2.4220000000000002</v>
      </c>
      <c r="AD307">
        <v>-2.1720000000000002</v>
      </c>
    </row>
    <row r="308" spans="28:30" x14ac:dyDescent="0.3">
      <c r="AB308">
        <v>22703.42166</v>
      </c>
      <c r="AC308">
        <v>-2.7069999999999999</v>
      </c>
      <c r="AD308">
        <v>-3.4620000000000002</v>
      </c>
    </row>
    <row r="309" spans="28:30" x14ac:dyDescent="0.3">
      <c r="AB309">
        <v>22719.335719999999</v>
      </c>
      <c r="AC309">
        <v>-2.5</v>
      </c>
      <c r="AD309">
        <v>-3.4540000000000002</v>
      </c>
    </row>
    <row r="310" spans="28:30" x14ac:dyDescent="0.3">
      <c r="AB310">
        <v>22735.249769999999</v>
      </c>
      <c r="AC310">
        <v>-2.5640000000000001</v>
      </c>
      <c r="AD310">
        <v>-2.972</v>
      </c>
    </row>
    <row r="311" spans="28:30" x14ac:dyDescent="0.3">
      <c r="AB311">
        <v>22751.163830000001</v>
      </c>
      <c r="AC311">
        <v>-2.3809999999999998</v>
      </c>
      <c r="AD311">
        <v>-2.4569999999999999</v>
      </c>
    </row>
    <row r="312" spans="28:30" x14ac:dyDescent="0.3">
      <c r="AB312">
        <v>22767.077880000001</v>
      </c>
      <c r="AC312">
        <v>-2.6619999999999999</v>
      </c>
      <c r="AD312">
        <v>-4.9240000000000004</v>
      </c>
    </row>
    <row r="313" spans="28:30" x14ac:dyDescent="0.3">
      <c r="AB313">
        <v>22782.99194</v>
      </c>
      <c r="AC313">
        <v>-2.3610000000000002</v>
      </c>
      <c r="AD313">
        <v>-2.8580000000000001</v>
      </c>
    </row>
    <row r="314" spans="28:30" x14ac:dyDescent="0.3">
      <c r="AB314">
        <v>22798.905989999999</v>
      </c>
      <c r="AC314">
        <v>-2.86</v>
      </c>
      <c r="AD314">
        <v>-6.32</v>
      </c>
    </row>
    <row r="315" spans="28:30" x14ac:dyDescent="0.3">
      <c r="AB315">
        <v>22814.820049999998</v>
      </c>
      <c r="AC315">
        <v>-2.3220000000000001</v>
      </c>
      <c r="AD315">
        <v>-4.3220000000000001</v>
      </c>
    </row>
    <row r="316" spans="28:30" x14ac:dyDescent="0.3">
      <c r="AB316">
        <v>22830.734100000001</v>
      </c>
      <c r="AC316">
        <v>-3.18</v>
      </c>
      <c r="AD316">
        <v>-5.242</v>
      </c>
    </row>
    <row r="317" spans="28:30" x14ac:dyDescent="0.3">
      <c r="AB317">
        <v>22846.648160000001</v>
      </c>
      <c r="AC317">
        <v>-2.875</v>
      </c>
      <c r="AD317">
        <v>-5.2649999999999997</v>
      </c>
    </row>
    <row r="318" spans="28:30" x14ac:dyDescent="0.3">
      <c r="AB318">
        <v>22862.56221</v>
      </c>
      <c r="AC318">
        <v>-3.085</v>
      </c>
      <c r="AD318">
        <v>-4.952</v>
      </c>
    </row>
    <row r="319" spans="28:30" x14ac:dyDescent="0.3">
      <c r="AB319">
        <v>22878.476269999999</v>
      </c>
      <c r="AC319">
        <v>-3.2389999999999999</v>
      </c>
      <c r="AD319">
        <v>-5.4009999999999998</v>
      </c>
    </row>
    <row r="320" spans="28:30" x14ac:dyDescent="0.3">
      <c r="AB320">
        <v>22894.390319999999</v>
      </c>
      <c r="AC320">
        <v>-3.133</v>
      </c>
      <c r="AD320">
        <v>-5.7919999999999998</v>
      </c>
    </row>
    <row r="321" spans="28:30" x14ac:dyDescent="0.3">
      <c r="AB321">
        <v>22910.304380000001</v>
      </c>
      <c r="AC321">
        <v>-3.3159999999999998</v>
      </c>
      <c r="AD321">
        <v>-5.4710000000000001</v>
      </c>
    </row>
    <row r="322" spans="28:30" x14ac:dyDescent="0.3">
      <c r="AB322">
        <v>22926.218430000001</v>
      </c>
      <c r="AC322">
        <v>-3.3340000000000001</v>
      </c>
      <c r="AD322">
        <v>-5.5910000000000002</v>
      </c>
    </row>
    <row r="323" spans="28:30" x14ac:dyDescent="0.3">
      <c r="AB323">
        <v>22942.13249</v>
      </c>
      <c r="AC323">
        <v>-3.0209999999999999</v>
      </c>
      <c r="AD323">
        <v>-5.032</v>
      </c>
    </row>
    <row r="324" spans="28:30" x14ac:dyDescent="0.3">
      <c r="AB324">
        <v>22958.046539999999</v>
      </c>
      <c r="AC324">
        <v>-3.13</v>
      </c>
      <c r="AD324">
        <v>-5.04</v>
      </c>
    </row>
    <row r="325" spans="28:30" x14ac:dyDescent="0.3">
      <c r="AB325">
        <v>22973.960599999999</v>
      </c>
      <c r="AC325">
        <v>-3.0270000000000001</v>
      </c>
      <c r="AD325">
        <v>-4.7569999999999997</v>
      </c>
    </row>
    <row r="326" spans="28:30" x14ac:dyDescent="0.3">
      <c r="AB326">
        <v>22989.874650000002</v>
      </c>
      <c r="AC326">
        <v>-3.1829999999999998</v>
      </c>
      <c r="AD326">
        <v>-5.0620000000000003</v>
      </c>
    </row>
    <row r="327" spans="28:30" x14ac:dyDescent="0.3">
      <c r="AB327">
        <v>23005.788710000001</v>
      </c>
      <c r="AC327">
        <v>-3.0539999999999998</v>
      </c>
      <c r="AD327">
        <v>-6.0830000000000002</v>
      </c>
    </row>
    <row r="328" spans="28:30" x14ac:dyDescent="0.3">
      <c r="AB328">
        <v>23021.70276</v>
      </c>
      <c r="AC328">
        <v>-3.266</v>
      </c>
      <c r="AD328">
        <v>-4.8890000000000002</v>
      </c>
    </row>
    <row r="329" spans="28:30" x14ac:dyDescent="0.3">
      <c r="AB329">
        <v>23037.616819999999</v>
      </c>
      <c r="AC329">
        <v>-3.3130000000000002</v>
      </c>
      <c r="AD329">
        <v>-4.6280000000000001</v>
      </c>
    </row>
    <row r="330" spans="28:30" x14ac:dyDescent="0.3">
      <c r="AB330">
        <v>23053.530869999999</v>
      </c>
      <c r="AC330">
        <v>-3.3519999999999999</v>
      </c>
      <c r="AD330">
        <v>-6.0060000000000002</v>
      </c>
    </row>
    <row r="331" spans="28:30" x14ac:dyDescent="0.3">
      <c r="AB331">
        <v>23069.444930000001</v>
      </c>
      <c r="AC331">
        <v>-3.1040000000000001</v>
      </c>
      <c r="AD331">
        <v>-4.577</v>
      </c>
    </row>
    <row r="332" spans="28:30" x14ac:dyDescent="0.3">
      <c r="AB332">
        <v>23085.358980000001</v>
      </c>
      <c r="AC332">
        <v>-3.3420000000000001</v>
      </c>
      <c r="AD332">
        <v>-5.9660000000000002</v>
      </c>
    </row>
    <row r="333" spans="28:30" x14ac:dyDescent="0.3">
      <c r="AB333">
        <v>23101.27304</v>
      </c>
      <c r="AC333">
        <v>-3.226</v>
      </c>
      <c r="AD333">
        <v>-5.6660000000000004</v>
      </c>
    </row>
    <row r="334" spans="28:30" x14ac:dyDescent="0.3">
      <c r="AB334">
        <v>23117.187089999999</v>
      </c>
      <c r="AC334">
        <v>-3.22</v>
      </c>
      <c r="AD334">
        <v>-6.56</v>
      </c>
    </row>
    <row r="335" spans="28:30" x14ac:dyDescent="0.3">
      <c r="AB335">
        <v>23137.896530000002</v>
      </c>
      <c r="AC335">
        <v>-3.4489999999999998</v>
      </c>
      <c r="AD335">
        <v>-7.056</v>
      </c>
    </row>
    <row r="336" spans="28:30" x14ac:dyDescent="0.3">
      <c r="AB336">
        <v>23158.605960000001</v>
      </c>
      <c r="AC336">
        <v>-2.9129999999999998</v>
      </c>
      <c r="AD336">
        <v>-4.2309999999999999</v>
      </c>
    </row>
    <row r="337" spans="28:30" x14ac:dyDescent="0.3">
      <c r="AB337">
        <v>23179.31539</v>
      </c>
      <c r="AC337">
        <v>-3.153</v>
      </c>
      <c r="AD337">
        <v>-5.7720000000000002</v>
      </c>
    </row>
    <row r="338" spans="28:30" x14ac:dyDescent="0.3">
      <c r="AB338">
        <v>23200.024829999998</v>
      </c>
      <c r="AC338">
        <v>-3.0009999999999999</v>
      </c>
      <c r="AD338">
        <v>-4.7169999999999996</v>
      </c>
    </row>
    <row r="339" spans="28:30" x14ac:dyDescent="0.3">
      <c r="AB339">
        <v>23220.734260000001</v>
      </c>
      <c r="AC339">
        <v>-3.081</v>
      </c>
      <c r="AD339">
        <v>-4.0650000000000004</v>
      </c>
    </row>
    <row r="340" spans="28:30" x14ac:dyDescent="0.3">
      <c r="AB340">
        <v>23241.44369</v>
      </c>
      <c r="AC340">
        <v>-3.1509999999999998</v>
      </c>
      <c r="AD340">
        <v>-4.5780000000000003</v>
      </c>
    </row>
    <row r="341" spans="28:30" x14ac:dyDescent="0.3">
      <c r="AB341">
        <v>23262.153129999999</v>
      </c>
      <c r="AC341">
        <v>-2.927</v>
      </c>
      <c r="AD341">
        <v>-4.97</v>
      </c>
    </row>
    <row r="342" spans="28:30" x14ac:dyDescent="0.3">
      <c r="AB342">
        <v>23282.862560000001</v>
      </c>
      <c r="AC342">
        <v>-3.1560000000000001</v>
      </c>
      <c r="AD342">
        <v>-4.4329999999999998</v>
      </c>
    </row>
    <row r="343" spans="28:30" x14ac:dyDescent="0.3">
      <c r="AB343">
        <v>23303.57199</v>
      </c>
      <c r="AC343">
        <v>-3.13</v>
      </c>
      <c r="AD343">
        <v>-6.1840000000000002</v>
      </c>
    </row>
    <row r="344" spans="28:30" x14ac:dyDescent="0.3">
      <c r="AB344">
        <v>23324.281429999999</v>
      </c>
      <c r="AC344">
        <v>-3.19</v>
      </c>
      <c r="AD344">
        <v>-6.17</v>
      </c>
    </row>
    <row r="345" spans="28:30" x14ac:dyDescent="0.3">
      <c r="AB345">
        <v>23344.990860000002</v>
      </c>
      <c r="AC345">
        <v>-2.8730000000000002</v>
      </c>
      <c r="AD345">
        <v>-3.7989999999999999</v>
      </c>
    </row>
    <row r="346" spans="28:30" x14ac:dyDescent="0.3">
      <c r="AB346">
        <v>23365.7003</v>
      </c>
      <c r="AC346">
        <v>-2.8479999999999999</v>
      </c>
      <c r="AD346">
        <v>-4.3220000000000001</v>
      </c>
    </row>
    <row r="347" spans="28:30" x14ac:dyDescent="0.3">
      <c r="AB347">
        <v>23386.409729999999</v>
      </c>
      <c r="AC347">
        <v>-2.8</v>
      </c>
      <c r="AD347">
        <v>-3.5659999999999998</v>
      </c>
    </row>
    <row r="348" spans="28:30" x14ac:dyDescent="0.3">
      <c r="AB348">
        <v>23407.119159999998</v>
      </c>
      <c r="AC348">
        <v>-2.8479999999999999</v>
      </c>
      <c r="AD348">
        <v>-3.8210000000000002</v>
      </c>
    </row>
    <row r="349" spans="28:30" x14ac:dyDescent="0.3">
      <c r="AB349">
        <v>23427.828600000001</v>
      </c>
      <c r="AC349">
        <v>-2.68</v>
      </c>
      <c r="AD349">
        <v>-4.7549999999999999</v>
      </c>
    </row>
    <row r="350" spans="28:30" x14ac:dyDescent="0.3">
      <c r="AB350">
        <v>23448.53803</v>
      </c>
      <c r="AC350">
        <v>-2.6480000000000001</v>
      </c>
      <c r="AD350">
        <v>-4.9989999999999997</v>
      </c>
    </row>
    <row r="351" spans="28:30" x14ac:dyDescent="0.3">
      <c r="AB351">
        <v>23469.247459999999</v>
      </c>
      <c r="AC351">
        <v>-2.6419999999999999</v>
      </c>
      <c r="AD351">
        <v>-5.57</v>
      </c>
    </row>
    <row r="352" spans="28:30" x14ac:dyDescent="0.3">
      <c r="AB352">
        <v>23489.956900000001</v>
      </c>
      <c r="AC352">
        <v>-2.637</v>
      </c>
      <c r="AD352">
        <v>-5.1040000000000001</v>
      </c>
    </row>
    <row r="353" spans="28:30" x14ac:dyDescent="0.3">
      <c r="AB353">
        <v>23510.66633</v>
      </c>
      <c r="AC353">
        <v>-3.0870000000000002</v>
      </c>
      <c r="AD353">
        <v>-4.9779999999999998</v>
      </c>
    </row>
    <row r="354" spans="28:30" x14ac:dyDescent="0.3">
      <c r="AB354">
        <v>23531.375769999999</v>
      </c>
      <c r="AC354">
        <v>-3.01</v>
      </c>
      <c r="AD354">
        <v>-5.09</v>
      </c>
    </row>
    <row r="355" spans="28:30" x14ac:dyDescent="0.3">
      <c r="AB355">
        <v>23552.085200000001</v>
      </c>
      <c r="AC355">
        <v>-3.0569999999999999</v>
      </c>
      <c r="AD355">
        <v>-5.0810000000000004</v>
      </c>
    </row>
    <row r="356" spans="28:30" x14ac:dyDescent="0.3">
      <c r="AB356">
        <v>23572.79463</v>
      </c>
      <c r="AC356">
        <v>-3.3530000000000002</v>
      </c>
      <c r="AD356">
        <v>-6.1740000000000004</v>
      </c>
    </row>
    <row r="357" spans="28:30" x14ac:dyDescent="0.3">
      <c r="AB357">
        <v>23593.504069999999</v>
      </c>
      <c r="AC357">
        <v>-3.3359999999999999</v>
      </c>
      <c r="AD357">
        <v>-5.7389999999999999</v>
      </c>
    </row>
    <row r="358" spans="28:30" x14ac:dyDescent="0.3">
      <c r="AB358">
        <v>23614.213500000002</v>
      </c>
      <c r="AC358">
        <v>-3.4550000000000001</v>
      </c>
      <c r="AD358">
        <v>-6.19</v>
      </c>
    </row>
    <row r="359" spans="28:30" x14ac:dyDescent="0.3">
      <c r="AB359">
        <v>23634.922930000001</v>
      </c>
      <c r="AC359">
        <v>-3.0710000000000002</v>
      </c>
      <c r="AD359">
        <v>-5.3029999999999999</v>
      </c>
    </row>
    <row r="360" spans="28:30" x14ac:dyDescent="0.3">
      <c r="AB360">
        <v>23655.632369999999</v>
      </c>
      <c r="AC360">
        <v>-2.7829999999999999</v>
      </c>
      <c r="AD360">
        <v>-4.68</v>
      </c>
    </row>
    <row r="361" spans="28:30" x14ac:dyDescent="0.3">
      <c r="AB361">
        <v>23676.341799999998</v>
      </c>
      <c r="AC361">
        <v>-2.9350000000000001</v>
      </c>
      <c r="AD361">
        <v>-4.9409999999999998</v>
      </c>
    </row>
    <row r="362" spans="28:30" x14ac:dyDescent="0.3">
      <c r="AB362">
        <v>23697.051240000001</v>
      </c>
      <c r="AC362">
        <v>-2.9239999999999999</v>
      </c>
      <c r="AD362">
        <v>-3.8959999999999999</v>
      </c>
    </row>
    <row r="363" spans="28:30" x14ac:dyDescent="0.3">
      <c r="AB363">
        <v>23717.76067</v>
      </c>
      <c r="AC363">
        <v>-2.8159999999999998</v>
      </c>
      <c r="AD363">
        <v>-4.9379999999999997</v>
      </c>
    </row>
    <row r="364" spans="28:30" x14ac:dyDescent="0.3">
      <c r="AB364">
        <v>23738.470099999999</v>
      </c>
      <c r="AC364">
        <v>-2.74</v>
      </c>
      <c r="AD364">
        <v>-5.67</v>
      </c>
    </row>
    <row r="365" spans="28:30" x14ac:dyDescent="0.3">
      <c r="AB365">
        <v>23759.179540000001</v>
      </c>
      <c r="AC365">
        <v>-2.9740000000000002</v>
      </c>
      <c r="AD365">
        <v>-6.1429999999999998</v>
      </c>
    </row>
    <row r="366" spans="28:30" x14ac:dyDescent="0.3">
      <c r="AB366">
        <v>23779.88897</v>
      </c>
      <c r="AC366">
        <v>-3.09</v>
      </c>
      <c r="AD366">
        <v>-5.7409999999999997</v>
      </c>
    </row>
    <row r="367" spans="28:30" x14ac:dyDescent="0.3">
      <c r="AB367">
        <v>23800.598399999999</v>
      </c>
      <c r="AC367">
        <v>-3.0390000000000001</v>
      </c>
      <c r="AD367">
        <v>-5.6159999999999997</v>
      </c>
    </row>
    <row r="368" spans="28:30" x14ac:dyDescent="0.3">
      <c r="AB368">
        <v>23821.307840000001</v>
      </c>
      <c r="AC368">
        <v>-3.1440000000000001</v>
      </c>
      <c r="AD368">
        <v>-5.556</v>
      </c>
    </row>
    <row r="369" spans="28:30" x14ac:dyDescent="0.3">
      <c r="AB369">
        <v>23842.01727</v>
      </c>
      <c r="AC369">
        <v>-2.6760000000000002</v>
      </c>
      <c r="AD369">
        <v>-4.6109999999999998</v>
      </c>
    </row>
    <row r="370" spans="28:30" x14ac:dyDescent="0.3">
      <c r="AB370">
        <v>23862.726699999999</v>
      </c>
      <c r="AC370">
        <v>-2.6269999999999998</v>
      </c>
      <c r="AD370">
        <v>-4.9450000000000003</v>
      </c>
    </row>
    <row r="371" spans="28:30" x14ac:dyDescent="0.3">
      <c r="AB371">
        <v>23883.436140000002</v>
      </c>
      <c r="AC371">
        <v>-2.7109999999999999</v>
      </c>
      <c r="AD371">
        <v>-4.9539999999999997</v>
      </c>
    </row>
    <row r="372" spans="28:30" x14ac:dyDescent="0.3">
      <c r="AB372">
        <v>23904.145570000001</v>
      </c>
      <c r="AC372">
        <v>-2.9889999999999999</v>
      </c>
      <c r="AD372">
        <v>-5.1909999999999998</v>
      </c>
    </row>
    <row r="373" spans="28:30" x14ac:dyDescent="0.3">
      <c r="AB373">
        <v>23924.855009999999</v>
      </c>
      <c r="AC373">
        <v>-2.98</v>
      </c>
      <c r="AD373">
        <v>-5.383</v>
      </c>
    </row>
    <row r="374" spans="28:30" x14ac:dyDescent="0.3">
      <c r="AB374">
        <v>23945.564439999998</v>
      </c>
      <c r="AC374">
        <v>-2.71</v>
      </c>
      <c r="AD374">
        <v>-5.51</v>
      </c>
    </row>
    <row r="375" spans="28:30" x14ac:dyDescent="0.3">
      <c r="AB375">
        <v>23966.273870000001</v>
      </c>
      <c r="AC375">
        <v>-2.9209999999999998</v>
      </c>
      <c r="AD375">
        <v>-4.9589999999999996</v>
      </c>
    </row>
    <row r="376" spans="28:30" x14ac:dyDescent="0.3">
      <c r="AB376">
        <v>23986.98331</v>
      </c>
      <c r="AC376">
        <v>-2.9319999999999999</v>
      </c>
      <c r="AD376">
        <v>-5.0709999999999997</v>
      </c>
    </row>
    <row r="377" spans="28:30" x14ac:dyDescent="0.3">
      <c r="AB377">
        <v>24007.692739999999</v>
      </c>
      <c r="AC377">
        <v>-2.5449999999999999</v>
      </c>
      <c r="AD377">
        <v>-5.6120000000000001</v>
      </c>
    </row>
    <row r="378" spans="28:30" x14ac:dyDescent="0.3">
      <c r="AB378">
        <v>24028.402170000001</v>
      </c>
      <c r="AC378">
        <v>-2.7170000000000001</v>
      </c>
      <c r="AD378">
        <v>-5.4359999999999999</v>
      </c>
    </row>
    <row r="379" spans="28:30" x14ac:dyDescent="0.3">
      <c r="AB379">
        <v>24049.11161</v>
      </c>
      <c r="AC379">
        <v>-2.3580000000000001</v>
      </c>
      <c r="AD379">
        <v>-3.26</v>
      </c>
    </row>
    <row r="380" spans="28:30" x14ac:dyDescent="0.3">
      <c r="AB380">
        <v>24069.821039999999</v>
      </c>
      <c r="AC380">
        <v>-2.4750000000000001</v>
      </c>
      <c r="AD380">
        <v>-3.952</v>
      </c>
    </row>
    <row r="381" spans="28:30" x14ac:dyDescent="0.3">
      <c r="AB381">
        <v>24111.23991</v>
      </c>
      <c r="AC381">
        <v>-2.7829999999999999</v>
      </c>
      <c r="AD381">
        <v>-3.5659999999999998</v>
      </c>
    </row>
    <row r="382" spans="28:30" x14ac:dyDescent="0.3">
      <c r="AB382">
        <v>24152.658780000002</v>
      </c>
      <c r="AC382">
        <v>-2.65</v>
      </c>
      <c r="AD382">
        <v>-4.3899999999999997</v>
      </c>
    </row>
    <row r="383" spans="28:30" x14ac:dyDescent="0.3">
      <c r="AB383">
        <v>24194.07764</v>
      </c>
      <c r="AC383">
        <v>-3.1</v>
      </c>
      <c r="AD383">
        <v>-3.7410000000000001</v>
      </c>
    </row>
    <row r="384" spans="28:30" x14ac:dyDescent="0.3">
      <c r="AB384">
        <v>24235.496510000001</v>
      </c>
      <c r="AC384">
        <v>-3.2330000000000001</v>
      </c>
      <c r="AD384">
        <v>-4.3010000000000002</v>
      </c>
    </row>
    <row r="385" spans="28:30" x14ac:dyDescent="0.3">
      <c r="AB385">
        <v>24276.915379999999</v>
      </c>
      <c r="AC385">
        <v>-3.3050000000000002</v>
      </c>
      <c r="AD385">
        <v>-4.0979999999999999</v>
      </c>
    </row>
    <row r="386" spans="28:30" x14ac:dyDescent="0.3">
      <c r="AB386">
        <v>24299.64878</v>
      </c>
      <c r="AC386">
        <v>-3.081</v>
      </c>
      <c r="AD386">
        <v>-3.7240000000000002</v>
      </c>
    </row>
    <row r="387" spans="28:30" x14ac:dyDescent="0.3">
      <c r="AB387">
        <v>24322.38219</v>
      </c>
      <c r="AC387">
        <v>-2.8769999999999998</v>
      </c>
      <c r="AD387">
        <v>-4.9219999999999997</v>
      </c>
    </row>
    <row r="388" spans="28:30" x14ac:dyDescent="0.3">
      <c r="AB388">
        <v>24345.115590000001</v>
      </c>
      <c r="AC388">
        <v>-3.0459999999999998</v>
      </c>
      <c r="AD388">
        <v>-4.7149999999999999</v>
      </c>
    </row>
    <row r="389" spans="28:30" x14ac:dyDescent="0.3">
      <c r="AB389">
        <v>24367.848999999998</v>
      </c>
      <c r="AC389">
        <v>-2.87</v>
      </c>
      <c r="AD389">
        <v>-5.22</v>
      </c>
    </row>
    <row r="390" spans="28:30" x14ac:dyDescent="0.3">
      <c r="AB390">
        <v>24390.582399999999</v>
      </c>
      <c r="AC390">
        <v>-3.0470000000000002</v>
      </c>
      <c r="AD390">
        <v>-3.5390000000000001</v>
      </c>
    </row>
    <row r="391" spans="28:30" x14ac:dyDescent="0.3">
      <c r="AB391">
        <v>24413.31581</v>
      </c>
      <c r="AC391">
        <v>-2.976</v>
      </c>
      <c r="AD391">
        <v>-5.3630000000000004</v>
      </c>
    </row>
    <row r="392" spans="28:30" x14ac:dyDescent="0.3">
      <c r="AB392">
        <v>24436.049210000001</v>
      </c>
      <c r="AC392">
        <v>-3.036</v>
      </c>
      <c r="AD392">
        <v>-4.9409999999999998</v>
      </c>
    </row>
    <row r="393" spans="28:30" x14ac:dyDescent="0.3">
      <c r="AB393">
        <v>24458.782620000002</v>
      </c>
      <c r="AC393">
        <v>-3.6110000000000002</v>
      </c>
      <c r="AD393">
        <v>-5.4969999999999999</v>
      </c>
    </row>
    <row r="394" spans="28:30" x14ac:dyDescent="0.3">
      <c r="AB394">
        <v>24481.516019999999</v>
      </c>
      <c r="AC394">
        <v>-3.3149999999999999</v>
      </c>
      <c r="AD394">
        <v>-4.4390000000000001</v>
      </c>
    </row>
    <row r="395" spans="28:30" x14ac:dyDescent="0.3">
      <c r="AB395">
        <v>24504.24942</v>
      </c>
      <c r="AC395">
        <v>-3.6030000000000002</v>
      </c>
      <c r="AD395">
        <v>-4.3360000000000003</v>
      </c>
    </row>
    <row r="396" spans="28:30" x14ac:dyDescent="0.3">
      <c r="AB396">
        <v>24526.982830000001</v>
      </c>
      <c r="AC396">
        <v>-3.5859999999999999</v>
      </c>
      <c r="AD396">
        <v>-4.1319999999999997</v>
      </c>
    </row>
    <row r="397" spans="28:30" x14ac:dyDescent="0.3">
      <c r="AB397">
        <v>24549.716230000002</v>
      </c>
      <c r="AC397">
        <v>-3.4830000000000001</v>
      </c>
      <c r="AD397">
        <v>-4.5</v>
      </c>
    </row>
    <row r="398" spans="28:30" x14ac:dyDescent="0.3">
      <c r="AB398">
        <v>24572.449639999999</v>
      </c>
      <c r="AC398">
        <v>-3.1930000000000001</v>
      </c>
      <c r="AD398">
        <v>-4.4109999999999996</v>
      </c>
    </row>
    <row r="399" spans="28:30" x14ac:dyDescent="0.3">
      <c r="AB399">
        <v>24595.18304</v>
      </c>
      <c r="AC399">
        <v>-3.18</v>
      </c>
      <c r="AD399">
        <v>-4.84</v>
      </c>
    </row>
    <row r="400" spans="28:30" x14ac:dyDescent="0.3">
      <c r="AB400">
        <v>24617.916450000001</v>
      </c>
      <c r="AC400">
        <v>-3.1429999999999998</v>
      </c>
      <c r="AD400">
        <v>-4.6859999999999999</v>
      </c>
    </row>
    <row r="401" spans="28:30" x14ac:dyDescent="0.3">
      <c r="AB401">
        <v>24640.649850000002</v>
      </c>
      <c r="AC401">
        <v>-3.3119999999999998</v>
      </c>
      <c r="AD401">
        <v>-4.9669999999999996</v>
      </c>
    </row>
    <row r="402" spans="28:30" x14ac:dyDescent="0.3">
      <c r="AB402">
        <v>24663.383259999999</v>
      </c>
      <c r="AC402">
        <v>-3.2480000000000002</v>
      </c>
      <c r="AD402">
        <v>-4.9889999999999999</v>
      </c>
    </row>
    <row r="403" spans="28:30" x14ac:dyDescent="0.3">
      <c r="AB403">
        <v>24686.11666</v>
      </c>
      <c r="AC403">
        <v>-3.16</v>
      </c>
      <c r="AD403">
        <v>-4.2270000000000003</v>
      </c>
    </row>
    <row r="404" spans="28:30" x14ac:dyDescent="0.3">
      <c r="AB404">
        <v>24708.85007</v>
      </c>
      <c r="AC404">
        <v>-2.855</v>
      </c>
      <c r="AD404">
        <v>-4.2889999999999997</v>
      </c>
    </row>
    <row r="405" spans="28:30" x14ac:dyDescent="0.3">
      <c r="AB405">
        <v>24731.583470000001</v>
      </c>
      <c r="AC405">
        <v>-2.82</v>
      </c>
      <c r="AD405">
        <v>-4.24</v>
      </c>
    </row>
    <row r="406" spans="28:30" x14ac:dyDescent="0.3">
      <c r="AB406">
        <v>24754.316869999999</v>
      </c>
      <c r="AC406">
        <v>-3.0270000000000001</v>
      </c>
      <c r="AD406">
        <v>-4.0590000000000002</v>
      </c>
    </row>
    <row r="407" spans="28:30" x14ac:dyDescent="0.3">
      <c r="AB407">
        <v>24777.050279999999</v>
      </c>
      <c r="AC407">
        <v>-3.32</v>
      </c>
      <c r="AD407">
        <v>-3.42</v>
      </c>
    </row>
    <row r="408" spans="28:30" x14ac:dyDescent="0.3">
      <c r="AB408">
        <v>24799.78368</v>
      </c>
      <c r="AC408">
        <v>-3.06</v>
      </c>
      <c r="AD408">
        <v>-3.9020000000000001</v>
      </c>
    </row>
    <row r="409" spans="28:30" x14ac:dyDescent="0.3">
      <c r="AB409">
        <v>24822.517090000001</v>
      </c>
      <c r="AC409">
        <v>-3.04</v>
      </c>
      <c r="AD409">
        <v>-3.82</v>
      </c>
    </row>
    <row r="410" spans="28:30" x14ac:dyDescent="0.3">
      <c r="AB410">
        <v>24845.250489999999</v>
      </c>
      <c r="AC410">
        <v>-2.984</v>
      </c>
      <c r="AD410">
        <v>-3.2690000000000001</v>
      </c>
    </row>
    <row r="411" spans="28:30" x14ac:dyDescent="0.3">
      <c r="AB411">
        <v>24867.983899999999</v>
      </c>
      <c r="AC411">
        <v>-3.05</v>
      </c>
      <c r="AD411">
        <v>-2.09</v>
      </c>
    </row>
    <row r="412" spans="28:30" x14ac:dyDescent="0.3">
      <c r="AB412">
        <v>24913.450710000001</v>
      </c>
      <c r="AC412">
        <v>-3.3530000000000002</v>
      </c>
      <c r="AD412">
        <v>-3.41</v>
      </c>
    </row>
    <row r="413" spans="28:30" x14ac:dyDescent="0.3">
      <c r="AB413">
        <v>24958.917519999999</v>
      </c>
      <c r="AC413">
        <v>-3.36</v>
      </c>
      <c r="AD413">
        <v>-3.83</v>
      </c>
    </row>
    <row r="414" spans="28:30" x14ac:dyDescent="0.3">
      <c r="AB414">
        <v>25004.384330000001</v>
      </c>
      <c r="AC414">
        <v>-3.23</v>
      </c>
      <c r="AD414">
        <v>-3.99</v>
      </c>
    </row>
    <row r="415" spans="28:30" x14ac:dyDescent="0.3">
      <c r="AB415">
        <v>25049.851129999999</v>
      </c>
      <c r="AC415">
        <v>-2.73</v>
      </c>
      <c r="AD415">
        <v>-3.98</v>
      </c>
    </row>
    <row r="416" spans="28:30" x14ac:dyDescent="0.3">
      <c r="AB416">
        <v>25379.861059999999</v>
      </c>
      <c r="AC416">
        <v>-2.75</v>
      </c>
      <c r="AD416">
        <v>-4.5</v>
      </c>
    </row>
    <row r="417" spans="28:30" x14ac:dyDescent="0.3">
      <c r="AB417">
        <v>25709.87098</v>
      </c>
      <c r="AC417">
        <v>-2.64</v>
      </c>
      <c r="AD417">
        <v>-4.54</v>
      </c>
    </row>
    <row r="418" spans="28:30" x14ac:dyDescent="0.3">
      <c r="AB418">
        <v>26369.89083</v>
      </c>
      <c r="AC418">
        <v>-2.36</v>
      </c>
      <c r="AD418">
        <v>-4.0199999999999996</v>
      </c>
    </row>
    <row r="419" spans="28:30" x14ac:dyDescent="0.3">
      <c r="AB419">
        <v>27359.920610000001</v>
      </c>
      <c r="AC419">
        <v>-2.4900000000000002</v>
      </c>
      <c r="AD419">
        <v>-3.84</v>
      </c>
    </row>
    <row r="420" spans="28:30" x14ac:dyDescent="0.3">
      <c r="AB420">
        <v>27689.930530000001</v>
      </c>
      <c r="AC420">
        <v>-2.87</v>
      </c>
      <c r="AD420">
        <v>-3.74</v>
      </c>
    </row>
    <row r="421" spans="28:30" x14ac:dyDescent="0.3">
      <c r="AB421">
        <v>28019.940449999998</v>
      </c>
      <c r="AC421">
        <v>-2.85</v>
      </c>
      <c r="AD421">
        <v>-3.2</v>
      </c>
    </row>
    <row r="422" spans="28:30" x14ac:dyDescent="0.3">
      <c r="AB422">
        <v>28679.960299999999</v>
      </c>
      <c r="AC422">
        <v>-2.52</v>
      </c>
      <c r="AD422">
        <v>-3.86</v>
      </c>
    </row>
    <row r="423" spans="28:30" x14ac:dyDescent="0.3">
      <c r="AB423">
        <v>29009.970229999999</v>
      </c>
      <c r="AC423">
        <v>-2.7</v>
      </c>
      <c r="AD423">
        <v>-4.79</v>
      </c>
    </row>
    <row r="424" spans="28:30" x14ac:dyDescent="0.3">
      <c r="AB424">
        <v>29339.980149999999</v>
      </c>
      <c r="AC424">
        <v>-2.76</v>
      </c>
      <c r="AD424">
        <v>-3.07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1935-15C8-4BE2-B48F-155038177DFF}">
  <dimension ref="A1:B1163"/>
  <sheetViews>
    <sheetView workbookViewId="0">
      <selection activeCell="E26" sqref="E26"/>
    </sheetView>
  </sheetViews>
  <sheetFormatPr defaultColWidth="11.5546875" defaultRowHeight="14.4" x14ac:dyDescent="0.3"/>
  <sheetData>
    <row r="1" spans="1:2" x14ac:dyDescent="0.3">
      <c r="A1" t="s">
        <v>88</v>
      </c>
      <c r="B1" t="s">
        <v>89</v>
      </c>
    </row>
    <row r="2" spans="1:2" x14ac:dyDescent="0.3">
      <c r="A2">
        <v>6</v>
      </c>
      <c r="B2">
        <v>-34.93</v>
      </c>
    </row>
    <row r="3" spans="1:2" x14ac:dyDescent="0.3">
      <c r="A3">
        <v>6</v>
      </c>
      <c r="B3">
        <v>-34.83</v>
      </c>
    </row>
    <row r="4" spans="1:2" x14ac:dyDescent="0.3">
      <c r="A4">
        <v>6.05</v>
      </c>
      <c r="B4">
        <v>-34.83</v>
      </c>
    </row>
    <row r="5" spans="1:2" x14ac:dyDescent="0.3">
      <c r="A5">
        <v>6.05</v>
      </c>
      <c r="B5">
        <v>-34.4</v>
      </c>
    </row>
    <row r="6" spans="1:2" x14ac:dyDescent="0.3">
      <c r="A6">
        <v>6.1</v>
      </c>
      <c r="B6">
        <v>-34.4</v>
      </c>
    </row>
    <row r="7" spans="1:2" x14ac:dyDescent="0.3">
      <c r="A7">
        <v>6.1</v>
      </c>
      <c r="B7">
        <v>-34.81</v>
      </c>
    </row>
    <row r="8" spans="1:2" x14ac:dyDescent="0.3">
      <c r="A8">
        <v>6.15</v>
      </c>
      <c r="B8">
        <v>-34.81</v>
      </c>
    </row>
    <row r="9" spans="1:2" x14ac:dyDescent="0.3">
      <c r="A9">
        <v>6.15</v>
      </c>
      <c r="B9">
        <v>-34.770000000000003</v>
      </c>
    </row>
    <row r="10" spans="1:2" x14ac:dyDescent="0.3">
      <c r="A10">
        <v>6.2</v>
      </c>
      <c r="B10">
        <v>-34.770000000000003</v>
      </c>
    </row>
    <row r="11" spans="1:2" x14ac:dyDescent="0.3">
      <c r="A11">
        <v>6.2</v>
      </c>
      <c r="B11">
        <v>-34.799999999999997</v>
      </c>
    </row>
    <row r="12" spans="1:2" x14ac:dyDescent="0.3">
      <c r="A12">
        <v>6.25</v>
      </c>
      <c r="B12">
        <v>-34.799999999999997</v>
      </c>
    </row>
    <row r="13" spans="1:2" x14ac:dyDescent="0.3">
      <c r="A13">
        <v>6.25</v>
      </c>
      <c r="B13">
        <v>-34.78</v>
      </c>
    </row>
    <row r="14" spans="1:2" x14ac:dyDescent="0.3">
      <c r="A14">
        <v>6.3</v>
      </c>
      <c r="B14">
        <v>-34.78</v>
      </c>
    </row>
    <row r="15" spans="1:2" x14ac:dyDescent="0.3">
      <c r="A15">
        <v>6.3</v>
      </c>
      <c r="B15">
        <v>-34.65</v>
      </c>
    </row>
    <row r="16" spans="1:2" x14ac:dyDescent="0.3">
      <c r="A16">
        <v>6.35</v>
      </c>
      <c r="B16">
        <v>-34.65</v>
      </c>
    </row>
    <row r="17" spans="1:2" x14ac:dyDescent="0.3">
      <c r="A17">
        <v>6.35</v>
      </c>
      <c r="B17">
        <v>-34.35</v>
      </c>
    </row>
    <row r="18" spans="1:2" x14ac:dyDescent="0.3">
      <c r="A18">
        <v>6.4</v>
      </c>
      <c r="B18">
        <v>-34.35</v>
      </c>
    </row>
    <row r="19" spans="1:2" x14ac:dyDescent="0.3">
      <c r="A19">
        <v>6.4</v>
      </c>
      <c r="B19">
        <v>-34.549999999999997</v>
      </c>
    </row>
    <row r="20" spans="1:2" x14ac:dyDescent="0.3">
      <c r="A20">
        <v>6.45</v>
      </c>
      <c r="B20">
        <v>-34.549999999999997</v>
      </c>
    </row>
    <row r="21" spans="1:2" x14ac:dyDescent="0.3">
      <c r="A21">
        <v>6.45</v>
      </c>
      <c r="B21">
        <v>-35.08</v>
      </c>
    </row>
    <row r="22" spans="1:2" x14ac:dyDescent="0.3">
      <c r="A22">
        <v>6.5</v>
      </c>
      <c r="B22">
        <v>-35.08</v>
      </c>
    </row>
    <row r="23" spans="1:2" x14ac:dyDescent="0.3">
      <c r="A23">
        <v>6.5</v>
      </c>
      <c r="B23">
        <v>-34.47</v>
      </c>
    </row>
    <row r="24" spans="1:2" x14ac:dyDescent="0.3">
      <c r="A24">
        <v>6.55</v>
      </c>
      <c r="B24">
        <v>-34.47</v>
      </c>
    </row>
    <row r="25" spans="1:2" x14ac:dyDescent="0.3">
      <c r="A25">
        <v>6.55</v>
      </c>
      <c r="B25">
        <v>-34.61</v>
      </c>
    </row>
    <row r="26" spans="1:2" x14ac:dyDescent="0.3">
      <c r="A26">
        <v>6.6</v>
      </c>
      <c r="B26">
        <v>-34.61</v>
      </c>
    </row>
    <row r="27" spans="1:2" x14ac:dyDescent="0.3">
      <c r="A27">
        <v>6.6</v>
      </c>
      <c r="B27">
        <v>-34.54</v>
      </c>
    </row>
    <row r="28" spans="1:2" x14ac:dyDescent="0.3">
      <c r="A28">
        <v>6.65</v>
      </c>
      <c r="B28">
        <v>-34.54</v>
      </c>
    </row>
    <row r="29" spans="1:2" x14ac:dyDescent="0.3">
      <c r="A29">
        <v>6.65</v>
      </c>
      <c r="B29">
        <v>-34.51</v>
      </c>
    </row>
    <row r="30" spans="1:2" x14ac:dyDescent="0.3">
      <c r="A30">
        <v>6.7</v>
      </c>
      <c r="B30">
        <v>-34.51</v>
      </c>
    </row>
    <row r="31" spans="1:2" x14ac:dyDescent="0.3">
      <c r="A31">
        <v>6.7</v>
      </c>
      <c r="B31">
        <v>-34.72</v>
      </c>
    </row>
    <row r="32" spans="1:2" x14ac:dyDescent="0.3">
      <c r="A32">
        <v>6.75</v>
      </c>
      <c r="B32">
        <v>-34.72</v>
      </c>
    </row>
    <row r="33" spans="1:2" x14ac:dyDescent="0.3">
      <c r="A33">
        <v>6.75</v>
      </c>
      <c r="B33">
        <v>-34.659999999999997</v>
      </c>
    </row>
    <row r="34" spans="1:2" x14ac:dyDescent="0.3">
      <c r="A34">
        <v>6.8</v>
      </c>
      <c r="B34">
        <v>-34.659999999999997</v>
      </c>
    </row>
    <row r="35" spans="1:2" x14ac:dyDescent="0.3">
      <c r="A35">
        <v>6.8</v>
      </c>
      <c r="B35">
        <v>-34.54</v>
      </c>
    </row>
    <row r="36" spans="1:2" x14ac:dyDescent="0.3">
      <c r="A36">
        <v>6.85</v>
      </c>
      <c r="B36">
        <v>-34.54</v>
      </c>
    </row>
    <row r="37" spans="1:2" x14ac:dyDescent="0.3">
      <c r="A37">
        <v>6.85</v>
      </c>
      <c r="B37">
        <v>-34.770000000000003</v>
      </c>
    </row>
    <row r="38" spans="1:2" x14ac:dyDescent="0.3">
      <c r="A38">
        <v>6.9</v>
      </c>
      <c r="B38">
        <v>-34.770000000000003</v>
      </c>
    </row>
    <row r="39" spans="1:2" x14ac:dyDescent="0.3">
      <c r="A39">
        <v>6.9</v>
      </c>
      <c r="B39">
        <v>-34.6</v>
      </c>
    </row>
    <row r="40" spans="1:2" x14ac:dyDescent="0.3">
      <c r="A40">
        <v>6.95</v>
      </c>
      <c r="B40">
        <v>-34.6</v>
      </c>
    </row>
    <row r="41" spans="1:2" x14ac:dyDescent="0.3">
      <c r="A41">
        <v>6.95</v>
      </c>
      <c r="B41">
        <v>-34.79</v>
      </c>
    </row>
    <row r="42" spans="1:2" x14ac:dyDescent="0.3">
      <c r="A42">
        <v>7</v>
      </c>
      <c r="B42">
        <v>-34.79</v>
      </c>
    </row>
    <row r="43" spans="1:2" x14ac:dyDescent="0.3">
      <c r="A43">
        <v>7</v>
      </c>
      <c r="B43">
        <v>-34.700000000000003</v>
      </c>
    </row>
    <row r="44" spans="1:2" x14ac:dyDescent="0.3">
      <c r="A44">
        <v>7.05</v>
      </c>
      <c r="B44">
        <v>-34.700000000000003</v>
      </c>
    </row>
    <row r="45" spans="1:2" x14ac:dyDescent="0.3">
      <c r="A45">
        <v>7.05</v>
      </c>
      <c r="B45">
        <v>-34.81</v>
      </c>
    </row>
    <row r="46" spans="1:2" x14ac:dyDescent="0.3">
      <c r="A46">
        <v>7.1</v>
      </c>
      <c r="B46">
        <v>-34.81</v>
      </c>
    </row>
    <row r="47" spans="1:2" x14ac:dyDescent="0.3">
      <c r="A47">
        <v>7.1</v>
      </c>
      <c r="B47">
        <v>-34.82</v>
      </c>
    </row>
    <row r="48" spans="1:2" x14ac:dyDescent="0.3">
      <c r="A48">
        <v>7.15</v>
      </c>
      <c r="B48">
        <v>-34.82</v>
      </c>
    </row>
    <row r="49" spans="1:2" x14ac:dyDescent="0.3">
      <c r="A49">
        <v>7.15</v>
      </c>
      <c r="B49">
        <v>-34.61</v>
      </c>
    </row>
    <row r="50" spans="1:2" x14ac:dyDescent="0.3">
      <c r="A50">
        <v>7.2</v>
      </c>
      <c r="B50">
        <v>-34.61</v>
      </c>
    </row>
    <row r="51" spans="1:2" x14ac:dyDescent="0.3">
      <c r="A51">
        <v>7.2</v>
      </c>
      <c r="B51">
        <v>-34.909999999999997</v>
      </c>
    </row>
    <row r="52" spans="1:2" x14ac:dyDescent="0.3">
      <c r="A52">
        <v>7.25</v>
      </c>
      <c r="B52">
        <v>-34.909999999999997</v>
      </c>
    </row>
    <row r="53" spans="1:2" x14ac:dyDescent="0.3">
      <c r="A53">
        <v>7.25</v>
      </c>
      <c r="B53">
        <v>-34.69</v>
      </c>
    </row>
    <row r="54" spans="1:2" x14ac:dyDescent="0.3">
      <c r="A54">
        <v>7.3</v>
      </c>
      <c r="B54">
        <v>-34.69</v>
      </c>
    </row>
    <row r="55" spans="1:2" x14ac:dyDescent="0.3">
      <c r="A55">
        <v>7.3</v>
      </c>
      <c r="B55">
        <v>-34.43</v>
      </c>
    </row>
    <row r="56" spans="1:2" x14ac:dyDescent="0.3">
      <c r="A56">
        <v>7.35</v>
      </c>
      <c r="B56">
        <v>-34.43</v>
      </c>
    </row>
    <row r="57" spans="1:2" x14ac:dyDescent="0.3">
      <c r="A57">
        <v>7.35</v>
      </c>
      <c r="B57">
        <v>-34.409999999999997</v>
      </c>
    </row>
    <row r="58" spans="1:2" x14ac:dyDescent="0.3">
      <c r="A58">
        <v>7.4</v>
      </c>
      <c r="B58">
        <v>-34.409999999999997</v>
      </c>
    </row>
    <row r="59" spans="1:2" x14ac:dyDescent="0.3">
      <c r="A59">
        <v>7.4</v>
      </c>
      <c r="B59">
        <v>-34.520000000000003</v>
      </c>
    </row>
    <row r="60" spans="1:2" x14ac:dyDescent="0.3">
      <c r="A60">
        <v>7.45</v>
      </c>
      <c r="B60">
        <v>-34.520000000000003</v>
      </c>
    </row>
    <row r="61" spans="1:2" x14ac:dyDescent="0.3">
      <c r="A61">
        <v>7.45</v>
      </c>
      <c r="B61">
        <v>-34.69</v>
      </c>
    </row>
    <row r="62" spans="1:2" x14ac:dyDescent="0.3">
      <c r="A62">
        <v>7.5</v>
      </c>
      <c r="B62">
        <v>-34.69</v>
      </c>
    </row>
    <row r="63" spans="1:2" x14ac:dyDescent="0.3">
      <c r="A63">
        <v>7.5</v>
      </c>
      <c r="B63">
        <v>-34.229999999999997</v>
      </c>
    </row>
    <row r="64" spans="1:2" x14ac:dyDescent="0.3">
      <c r="A64">
        <v>7.55</v>
      </c>
      <c r="B64">
        <v>-34.229999999999997</v>
      </c>
    </row>
    <row r="65" spans="1:2" x14ac:dyDescent="0.3">
      <c r="A65">
        <v>7.55</v>
      </c>
      <c r="B65">
        <v>-34.33</v>
      </c>
    </row>
    <row r="66" spans="1:2" x14ac:dyDescent="0.3">
      <c r="A66">
        <v>7.6</v>
      </c>
      <c r="B66">
        <v>-34.33</v>
      </c>
    </row>
    <row r="67" spans="1:2" x14ac:dyDescent="0.3">
      <c r="A67">
        <v>7.6</v>
      </c>
      <c r="B67">
        <v>-34.39</v>
      </c>
    </row>
    <row r="68" spans="1:2" x14ac:dyDescent="0.3">
      <c r="A68">
        <v>7.65</v>
      </c>
      <c r="B68">
        <v>-34.39</v>
      </c>
    </row>
    <row r="69" spans="1:2" x14ac:dyDescent="0.3">
      <c r="A69">
        <v>7.65</v>
      </c>
      <c r="B69">
        <v>-34.42</v>
      </c>
    </row>
    <row r="70" spans="1:2" x14ac:dyDescent="0.3">
      <c r="A70">
        <v>7.7</v>
      </c>
      <c r="B70">
        <v>-34.42</v>
      </c>
    </row>
    <row r="71" spans="1:2" x14ac:dyDescent="0.3">
      <c r="A71">
        <v>7.7</v>
      </c>
      <c r="B71">
        <v>-34.06</v>
      </c>
    </row>
    <row r="72" spans="1:2" x14ac:dyDescent="0.3">
      <c r="A72">
        <v>7.75</v>
      </c>
      <c r="B72">
        <v>-34.06</v>
      </c>
    </row>
    <row r="73" spans="1:2" x14ac:dyDescent="0.3">
      <c r="A73">
        <v>7.75</v>
      </c>
      <c r="B73">
        <v>-34.25</v>
      </c>
    </row>
    <row r="74" spans="1:2" x14ac:dyDescent="0.3">
      <c r="A74">
        <v>7.8</v>
      </c>
      <c r="B74">
        <v>-34.25</v>
      </c>
    </row>
    <row r="75" spans="1:2" x14ac:dyDescent="0.3">
      <c r="A75">
        <v>7.8</v>
      </c>
      <c r="B75">
        <v>-34.89</v>
      </c>
    </row>
    <row r="76" spans="1:2" x14ac:dyDescent="0.3">
      <c r="A76">
        <v>7.85</v>
      </c>
      <c r="B76">
        <v>-34.89</v>
      </c>
    </row>
    <row r="77" spans="1:2" x14ac:dyDescent="0.3">
      <c r="A77">
        <v>7.85</v>
      </c>
      <c r="B77">
        <v>-34.54</v>
      </c>
    </row>
    <row r="78" spans="1:2" x14ac:dyDescent="0.3">
      <c r="A78">
        <v>7.9</v>
      </c>
      <c r="B78">
        <v>-34.54</v>
      </c>
    </row>
    <row r="79" spans="1:2" x14ac:dyDescent="0.3">
      <c r="A79">
        <v>7.9</v>
      </c>
      <c r="B79">
        <v>-34.130000000000003</v>
      </c>
    </row>
    <row r="80" spans="1:2" x14ac:dyDescent="0.3">
      <c r="A80">
        <v>7.95</v>
      </c>
      <c r="B80">
        <v>-34.130000000000003</v>
      </c>
    </row>
    <row r="81" spans="1:2" x14ac:dyDescent="0.3">
      <c r="A81">
        <v>7.95</v>
      </c>
      <c r="B81">
        <v>-34.630000000000003</v>
      </c>
    </row>
    <row r="82" spans="1:2" x14ac:dyDescent="0.3">
      <c r="A82">
        <v>8</v>
      </c>
      <c r="B82">
        <v>-34.630000000000003</v>
      </c>
    </row>
    <row r="83" spans="1:2" x14ac:dyDescent="0.3">
      <c r="A83">
        <v>8</v>
      </c>
      <c r="B83">
        <v>-34.65</v>
      </c>
    </row>
    <row r="84" spans="1:2" x14ac:dyDescent="0.3">
      <c r="A84">
        <v>8.0500000000000007</v>
      </c>
      <c r="B84">
        <v>-34.65</v>
      </c>
    </row>
    <row r="85" spans="1:2" x14ac:dyDescent="0.3">
      <c r="A85">
        <v>8.0500000000000007</v>
      </c>
      <c r="B85">
        <v>-35.51</v>
      </c>
    </row>
    <row r="86" spans="1:2" x14ac:dyDescent="0.3">
      <c r="A86">
        <v>8.1</v>
      </c>
      <c r="B86">
        <v>-35.51</v>
      </c>
    </row>
    <row r="87" spans="1:2" x14ac:dyDescent="0.3">
      <c r="A87">
        <v>8.1</v>
      </c>
      <c r="B87">
        <v>-35.979999999999997</v>
      </c>
    </row>
    <row r="88" spans="1:2" x14ac:dyDescent="0.3">
      <c r="A88">
        <v>8.15</v>
      </c>
      <c r="B88">
        <v>-35.979999999999997</v>
      </c>
    </row>
    <row r="89" spans="1:2" x14ac:dyDescent="0.3">
      <c r="A89">
        <v>8.15</v>
      </c>
      <c r="B89">
        <v>-35.39</v>
      </c>
    </row>
    <row r="90" spans="1:2" x14ac:dyDescent="0.3">
      <c r="A90">
        <v>8.1999999999999993</v>
      </c>
      <c r="B90">
        <v>-35.39</v>
      </c>
    </row>
    <row r="91" spans="1:2" x14ac:dyDescent="0.3">
      <c r="A91">
        <v>8.1999999999999993</v>
      </c>
      <c r="B91">
        <v>-34.6</v>
      </c>
    </row>
    <row r="92" spans="1:2" x14ac:dyDescent="0.3">
      <c r="A92">
        <v>8.25</v>
      </c>
      <c r="B92">
        <v>-34.6</v>
      </c>
    </row>
    <row r="93" spans="1:2" x14ac:dyDescent="0.3">
      <c r="A93">
        <v>8.25</v>
      </c>
      <c r="B93">
        <v>-34.69</v>
      </c>
    </row>
    <row r="94" spans="1:2" x14ac:dyDescent="0.3">
      <c r="A94">
        <v>8.3000000000000007</v>
      </c>
      <c r="B94">
        <v>-34.69</v>
      </c>
    </row>
    <row r="95" spans="1:2" x14ac:dyDescent="0.3">
      <c r="A95">
        <v>8.3000000000000007</v>
      </c>
      <c r="B95">
        <v>-35.130000000000003</v>
      </c>
    </row>
    <row r="96" spans="1:2" x14ac:dyDescent="0.3">
      <c r="A96">
        <v>8.35</v>
      </c>
      <c r="B96">
        <v>-35.130000000000003</v>
      </c>
    </row>
    <row r="97" spans="1:2" x14ac:dyDescent="0.3">
      <c r="A97">
        <v>8.35</v>
      </c>
      <c r="B97">
        <v>-34.770000000000003</v>
      </c>
    </row>
    <row r="98" spans="1:2" x14ac:dyDescent="0.3">
      <c r="A98">
        <v>8.4</v>
      </c>
      <c r="B98">
        <v>-34.770000000000003</v>
      </c>
    </row>
    <row r="99" spans="1:2" x14ac:dyDescent="0.3">
      <c r="A99">
        <v>8.4</v>
      </c>
      <c r="B99">
        <v>-34.6</v>
      </c>
    </row>
    <row r="100" spans="1:2" x14ac:dyDescent="0.3">
      <c r="A100">
        <v>8.4499999999999993</v>
      </c>
      <c r="B100">
        <v>-34.6</v>
      </c>
    </row>
    <row r="101" spans="1:2" x14ac:dyDescent="0.3">
      <c r="A101">
        <v>8.4499999999999993</v>
      </c>
      <c r="B101">
        <v>-34.71</v>
      </c>
    </row>
    <row r="102" spans="1:2" x14ac:dyDescent="0.3">
      <c r="A102">
        <v>8.5</v>
      </c>
      <c r="B102">
        <v>-34.71</v>
      </c>
    </row>
    <row r="103" spans="1:2" x14ac:dyDescent="0.3">
      <c r="A103">
        <v>8.5</v>
      </c>
      <c r="B103">
        <v>-34.46</v>
      </c>
    </row>
    <row r="104" spans="1:2" x14ac:dyDescent="0.3">
      <c r="A104">
        <v>8.5500000000000007</v>
      </c>
      <c r="B104">
        <v>-34.46</v>
      </c>
    </row>
    <row r="105" spans="1:2" x14ac:dyDescent="0.3">
      <c r="A105">
        <v>8.5500000000000007</v>
      </c>
      <c r="B105">
        <v>-35.119999999999997</v>
      </c>
    </row>
    <row r="106" spans="1:2" x14ac:dyDescent="0.3">
      <c r="A106">
        <v>8.6</v>
      </c>
      <c r="B106">
        <v>-35.119999999999997</v>
      </c>
    </row>
    <row r="107" spans="1:2" x14ac:dyDescent="0.3">
      <c r="A107">
        <v>8.6</v>
      </c>
      <c r="B107">
        <v>-34.75</v>
      </c>
    </row>
    <row r="108" spans="1:2" x14ac:dyDescent="0.3">
      <c r="A108">
        <v>8.65</v>
      </c>
      <c r="B108">
        <v>-34.75</v>
      </c>
    </row>
    <row r="109" spans="1:2" x14ac:dyDescent="0.3">
      <c r="A109">
        <v>8.65</v>
      </c>
      <c r="B109">
        <v>-34.82</v>
      </c>
    </row>
    <row r="110" spans="1:2" x14ac:dyDescent="0.3">
      <c r="A110">
        <v>8.6999999999999993</v>
      </c>
      <c r="B110">
        <v>-34.82</v>
      </c>
    </row>
    <row r="111" spans="1:2" x14ac:dyDescent="0.3">
      <c r="A111">
        <v>8.6999999999999993</v>
      </c>
      <c r="B111">
        <v>-35.049999999999997</v>
      </c>
    </row>
    <row r="112" spans="1:2" x14ac:dyDescent="0.3">
      <c r="A112">
        <v>8.75</v>
      </c>
      <c r="B112">
        <v>-35.049999999999997</v>
      </c>
    </row>
    <row r="113" spans="1:2" x14ac:dyDescent="0.3">
      <c r="A113">
        <v>8.75</v>
      </c>
      <c r="B113">
        <v>-34.67</v>
      </c>
    </row>
    <row r="114" spans="1:2" x14ac:dyDescent="0.3">
      <c r="A114">
        <v>8.8000000000000007</v>
      </c>
      <c r="B114">
        <v>-34.67</v>
      </c>
    </row>
    <row r="115" spans="1:2" x14ac:dyDescent="0.3">
      <c r="A115">
        <v>8.8000000000000007</v>
      </c>
      <c r="B115">
        <v>-34.299999999999997</v>
      </c>
    </row>
    <row r="116" spans="1:2" x14ac:dyDescent="0.3">
      <c r="A116">
        <v>8.85</v>
      </c>
      <c r="B116">
        <v>-34.299999999999997</v>
      </c>
    </row>
    <row r="117" spans="1:2" x14ac:dyDescent="0.3">
      <c r="A117">
        <v>8.85</v>
      </c>
      <c r="B117">
        <v>-34.71</v>
      </c>
    </row>
    <row r="118" spans="1:2" x14ac:dyDescent="0.3">
      <c r="A118">
        <v>8.9</v>
      </c>
      <c r="B118">
        <v>-34.71</v>
      </c>
    </row>
    <row r="119" spans="1:2" x14ac:dyDescent="0.3">
      <c r="A119">
        <v>8.9</v>
      </c>
      <c r="B119">
        <v>-34.659999999999997</v>
      </c>
    </row>
    <row r="120" spans="1:2" x14ac:dyDescent="0.3">
      <c r="A120">
        <v>8.9499999999999993</v>
      </c>
      <c r="B120">
        <v>-34.659999999999997</v>
      </c>
    </row>
    <row r="121" spans="1:2" x14ac:dyDescent="0.3">
      <c r="A121">
        <v>8.9499999999999993</v>
      </c>
      <c r="B121">
        <v>-35.22</v>
      </c>
    </row>
    <row r="122" spans="1:2" x14ac:dyDescent="0.3">
      <c r="A122">
        <v>9</v>
      </c>
      <c r="B122">
        <v>-35.22</v>
      </c>
    </row>
    <row r="123" spans="1:2" x14ac:dyDescent="0.3">
      <c r="A123">
        <v>9</v>
      </c>
      <c r="B123">
        <v>-34.78</v>
      </c>
    </row>
    <row r="124" spans="1:2" x14ac:dyDescent="0.3">
      <c r="A124">
        <v>9.0500000000000007</v>
      </c>
      <c r="B124">
        <v>-34.78</v>
      </c>
    </row>
    <row r="125" spans="1:2" x14ac:dyDescent="0.3">
      <c r="A125">
        <v>9.0500000000000007</v>
      </c>
      <c r="B125">
        <v>-34.49</v>
      </c>
    </row>
    <row r="126" spans="1:2" x14ac:dyDescent="0.3">
      <c r="A126">
        <v>9.1</v>
      </c>
      <c r="B126">
        <v>-34.49</v>
      </c>
    </row>
    <row r="127" spans="1:2" x14ac:dyDescent="0.3">
      <c r="A127">
        <v>9.1</v>
      </c>
      <c r="B127">
        <v>-34.81</v>
      </c>
    </row>
    <row r="128" spans="1:2" x14ac:dyDescent="0.3">
      <c r="A128">
        <v>9.15</v>
      </c>
      <c r="B128">
        <v>-34.81</v>
      </c>
    </row>
    <row r="129" spans="1:2" x14ac:dyDescent="0.3">
      <c r="A129">
        <v>9.15</v>
      </c>
      <c r="B129">
        <v>-35.479999999999997</v>
      </c>
    </row>
    <row r="130" spans="1:2" x14ac:dyDescent="0.3">
      <c r="A130">
        <v>9.1999999999999993</v>
      </c>
      <c r="B130">
        <v>-35.479999999999997</v>
      </c>
    </row>
    <row r="131" spans="1:2" x14ac:dyDescent="0.3">
      <c r="A131">
        <v>9.1999999999999993</v>
      </c>
      <c r="B131">
        <v>-35.409999999999997</v>
      </c>
    </row>
    <row r="132" spans="1:2" x14ac:dyDescent="0.3">
      <c r="A132">
        <v>9.25</v>
      </c>
      <c r="B132">
        <v>-35.409999999999997</v>
      </c>
    </row>
    <row r="133" spans="1:2" x14ac:dyDescent="0.3">
      <c r="A133">
        <v>9.25</v>
      </c>
      <c r="B133">
        <v>-34.78</v>
      </c>
    </row>
    <row r="134" spans="1:2" x14ac:dyDescent="0.3">
      <c r="A134">
        <v>9.3000000000000007</v>
      </c>
      <c r="B134">
        <v>-34.78</v>
      </c>
    </row>
    <row r="135" spans="1:2" x14ac:dyDescent="0.3">
      <c r="A135">
        <v>9.3000000000000007</v>
      </c>
      <c r="B135">
        <v>-34.869999999999997</v>
      </c>
    </row>
    <row r="136" spans="1:2" x14ac:dyDescent="0.3">
      <c r="A136">
        <v>9.35</v>
      </c>
      <c r="B136">
        <v>-34.869999999999997</v>
      </c>
    </row>
    <row r="137" spans="1:2" x14ac:dyDescent="0.3">
      <c r="A137">
        <v>9.35</v>
      </c>
      <c r="B137">
        <v>-35.119999999999997</v>
      </c>
    </row>
    <row r="138" spans="1:2" x14ac:dyDescent="0.3">
      <c r="A138">
        <v>9.4</v>
      </c>
      <c r="B138">
        <v>-35.119999999999997</v>
      </c>
    </row>
    <row r="139" spans="1:2" x14ac:dyDescent="0.3">
      <c r="A139">
        <v>9.4</v>
      </c>
      <c r="B139">
        <v>-34.83</v>
      </c>
    </row>
    <row r="140" spans="1:2" x14ac:dyDescent="0.3">
      <c r="A140">
        <v>9.4499999999999993</v>
      </c>
      <c r="B140">
        <v>-34.83</v>
      </c>
    </row>
    <row r="141" spans="1:2" x14ac:dyDescent="0.3">
      <c r="A141">
        <v>9.4499999999999993</v>
      </c>
      <c r="B141">
        <v>-34.909999999999997</v>
      </c>
    </row>
    <row r="142" spans="1:2" x14ac:dyDescent="0.3">
      <c r="A142">
        <v>9.5</v>
      </c>
      <c r="B142">
        <v>-34.909999999999997</v>
      </c>
    </row>
    <row r="143" spans="1:2" x14ac:dyDescent="0.3">
      <c r="A143">
        <v>9.5</v>
      </c>
      <c r="B143">
        <v>-34.86</v>
      </c>
    </row>
    <row r="144" spans="1:2" x14ac:dyDescent="0.3">
      <c r="A144">
        <v>9.5500000000000007</v>
      </c>
      <c r="B144">
        <v>-34.86</v>
      </c>
    </row>
    <row r="145" spans="1:2" x14ac:dyDescent="0.3">
      <c r="A145">
        <v>9.5500000000000007</v>
      </c>
      <c r="B145">
        <v>-34.86</v>
      </c>
    </row>
    <row r="146" spans="1:2" x14ac:dyDescent="0.3">
      <c r="A146">
        <v>9.6</v>
      </c>
      <c r="B146">
        <v>-34.86</v>
      </c>
    </row>
    <row r="147" spans="1:2" x14ac:dyDescent="0.3">
      <c r="A147">
        <v>9.6</v>
      </c>
      <c r="B147">
        <v>-34.700000000000003</v>
      </c>
    </row>
    <row r="148" spans="1:2" x14ac:dyDescent="0.3">
      <c r="A148">
        <v>9.65</v>
      </c>
      <c r="B148">
        <v>-34.700000000000003</v>
      </c>
    </row>
    <row r="149" spans="1:2" x14ac:dyDescent="0.3">
      <c r="A149">
        <v>9.65</v>
      </c>
      <c r="B149">
        <v>-34.64</v>
      </c>
    </row>
    <row r="150" spans="1:2" x14ac:dyDescent="0.3">
      <c r="A150">
        <v>9.6999999999999993</v>
      </c>
      <c r="B150">
        <v>-34.64</v>
      </c>
    </row>
    <row r="151" spans="1:2" x14ac:dyDescent="0.3">
      <c r="A151">
        <v>9.6999999999999993</v>
      </c>
      <c r="B151">
        <v>-35.15</v>
      </c>
    </row>
    <row r="152" spans="1:2" x14ac:dyDescent="0.3">
      <c r="A152">
        <v>9.75</v>
      </c>
      <c r="B152">
        <v>-35.15</v>
      </c>
    </row>
    <row r="153" spans="1:2" x14ac:dyDescent="0.3">
      <c r="A153">
        <v>9.75</v>
      </c>
      <c r="B153">
        <v>-34.99</v>
      </c>
    </row>
    <row r="154" spans="1:2" x14ac:dyDescent="0.3">
      <c r="A154">
        <v>9.8000000000000007</v>
      </c>
      <c r="B154">
        <v>-34.99</v>
      </c>
    </row>
    <row r="155" spans="1:2" x14ac:dyDescent="0.3">
      <c r="A155">
        <v>9.8000000000000007</v>
      </c>
      <c r="B155">
        <v>-35.130000000000003</v>
      </c>
    </row>
    <row r="156" spans="1:2" x14ac:dyDescent="0.3">
      <c r="A156">
        <v>9.85</v>
      </c>
      <c r="B156">
        <v>-35.130000000000003</v>
      </c>
    </row>
    <row r="157" spans="1:2" x14ac:dyDescent="0.3">
      <c r="A157">
        <v>9.85</v>
      </c>
      <c r="B157">
        <v>-34.93</v>
      </c>
    </row>
    <row r="158" spans="1:2" x14ac:dyDescent="0.3">
      <c r="A158">
        <v>9.9</v>
      </c>
      <c r="B158">
        <v>-34.93</v>
      </c>
    </row>
    <row r="159" spans="1:2" x14ac:dyDescent="0.3">
      <c r="A159">
        <v>9.9</v>
      </c>
      <c r="B159">
        <v>-35.29</v>
      </c>
    </row>
    <row r="160" spans="1:2" x14ac:dyDescent="0.3">
      <c r="A160">
        <v>9.9499999999999993</v>
      </c>
      <c r="B160">
        <v>-35.29</v>
      </c>
    </row>
    <row r="161" spans="1:2" x14ac:dyDescent="0.3">
      <c r="A161">
        <v>9.9499999999999993</v>
      </c>
      <c r="B161">
        <v>-35.25</v>
      </c>
    </row>
    <row r="162" spans="1:2" x14ac:dyDescent="0.3">
      <c r="A162">
        <v>10</v>
      </c>
      <c r="B162">
        <v>-35.25</v>
      </c>
    </row>
    <row r="163" spans="1:2" x14ac:dyDescent="0.3">
      <c r="A163">
        <v>10</v>
      </c>
      <c r="B163">
        <v>-35.24</v>
      </c>
    </row>
    <row r="164" spans="1:2" x14ac:dyDescent="0.3">
      <c r="A164">
        <v>10.050000000000001</v>
      </c>
      <c r="B164">
        <v>-35.24</v>
      </c>
    </row>
    <row r="165" spans="1:2" x14ac:dyDescent="0.3">
      <c r="A165">
        <v>10.050000000000001</v>
      </c>
      <c r="B165">
        <v>-35.380000000000003</v>
      </c>
    </row>
    <row r="166" spans="1:2" x14ac:dyDescent="0.3">
      <c r="A166">
        <v>10.1</v>
      </c>
      <c r="B166">
        <v>-35.380000000000003</v>
      </c>
    </row>
    <row r="167" spans="1:2" x14ac:dyDescent="0.3">
      <c r="A167">
        <v>10.1</v>
      </c>
      <c r="B167">
        <v>-36.270000000000003</v>
      </c>
    </row>
    <row r="168" spans="1:2" x14ac:dyDescent="0.3">
      <c r="A168">
        <v>10.15</v>
      </c>
      <c r="B168">
        <v>-36.270000000000003</v>
      </c>
    </row>
    <row r="169" spans="1:2" x14ac:dyDescent="0.3">
      <c r="A169">
        <v>10.15</v>
      </c>
      <c r="B169">
        <v>-35.729999999999997</v>
      </c>
    </row>
    <row r="170" spans="1:2" x14ac:dyDescent="0.3">
      <c r="A170">
        <v>10.199999999999999</v>
      </c>
      <c r="B170">
        <v>-35.729999999999997</v>
      </c>
    </row>
    <row r="171" spans="1:2" x14ac:dyDescent="0.3">
      <c r="A171">
        <v>10.199999999999999</v>
      </c>
      <c r="B171">
        <v>-36.18</v>
      </c>
    </row>
    <row r="172" spans="1:2" x14ac:dyDescent="0.3">
      <c r="A172">
        <v>10.25</v>
      </c>
      <c r="B172">
        <v>-36.18</v>
      </c>
    </row>
    <row r="173" spans="1:2" x14ac:dyDescent="0.3">
      <c r="A173">
        <v>10.25</v>
      </c>
      <c r="B173">
        <v>-36.22</v>
      </c>
    </row>
    <row r="174" spans="1:2" x14ac:dyDescent="0.3">
      <c r="A174">
        <v>10.3</v>
      </c>
      <c r="B174">
        <v>-36.22</v>
      </c>
    </row>
    <row r="175" spans="1:2" x14ac:dyDescent="0.3">
      <c r="A175">
        <v>10.3</v>
      </c>
      <c r="B175">
        <v>-36.090000000000003</v>
      </c>
    </row>
    <row r="176" spans="1:2" x14ac:dyDescent="0.3">
      <c r="A176">
        <v>10.35</v>
      </c>
      <c r="B176">
        <v>-36.090000000000003</v>
      </c>
    </row>
    <row r="177" spans="1:2" x14ac:dyDescent="0.3">
      <c r="A177">
        <v>10.35</v>
      </c>
      <c r="B177">
        <v>-35.700000000000003</v>
      </c>
    </row>
    <row r="178" spans="1:2" x14ac:dyDescent="0.3">
      <c r="A178">
        <v>10.4</v>
      </c>
      <c r="B178">
        <v>-35.700000000000003</v>
      </c>
    </row>
    <row r="179" spans="1:2" x14ac:dyDescent="0.3">
      <c r="A179">
        <v>10.4</v>
      </c>
      <c r="B179">
        <v>-35.9</v>
      </c>
    </row>
    <row r="180" spans="1:2" x14ac:dyDescent="0.3">
      <c r="A180">
        <v>10.45</v>
      </c>
      <c r="B180">
        <v>-35.9</v>
      </c>
    </row>
    <row r="181" spans="1:2" x14ac:dyDescent="0.3">
      <c r="A181">
        <v>10.45</v>
      </c>
      <c r="B181">
        <v>-36.299999999999997</v>
      </c>
    </row>
    <row r="182" spans="1:2" x14ac:dyDescent="0.3">
      <c r="A182">
        <v>10.5</v>
      </c>
      <c r="B182">
        <v>-36.299999999999997</v>
      </c>
    </row>
    <row r="183" spans="1:2" x14ac:dyDescent="0.3">
      <c r="A183">
        <v>10.5</v>
      </c>
      <c r="B183">
        <v>-35.619999999999997</v>
      </c>
    </row>
    <row r="184" spans="1:2" x14ac:dyDescent="0.3">
      <c r="A184">
        <v>10.55</v>
      </c>
      <c r="B184">
        <v>-35.619999999999997</v>
      </c>
    </row>
    <row r="185" spans="1:2" x14ac:dyDescent="0.3">
      <c r="A185">
        <v>10.55</v>
      </c>
      <c r="B185">
        <v>-36.17</v>
      </c>
    </row>
    <row r="186" spans="1:2" x14ac:dyDescent="0.3">
      <c r="A186">
        <v>10.6</v>
      </c>
      <c r="B186">
        <v>-36.17</v>
      </c>
    </row>
    <row r="187" spans="1:2" x14ac:dyDescent="0.3">
      <c r="A187">
        <v>10.6</v>
      </c>
      <c r="B187">
        <v>-36.31</v>
      </c>
    </row>
    <row r="188" spans="1:2" x14ac:dyDescent="0.3">
      <c r="A188">
        <v>10.65</v>
      </c>
      <c r="B188">
        <v>-36.31</v>
      </c>
    </row>
    <row r="189" spans="1:2" x14ac:dyDescent="0.3">
      <c r="A189">
        <v>10.65</v>
      </c>
      <c r="B189">
        <v>-36.54</v>
      </c>
    </row>
    <row r="190" spans="1:2" x14ac:dyDescent="0.3">
      <c r="A190">
        <v>10.7</v>
      </c>
      <c r="B190">
        <v>-36.54</v>
      </c>
    </row>
    <row r="191" spans="1:2" x14ac:dyDescent="0.3">
      <c r="A191">
        <v>10.7</v>
      </c>
      <c r="B191">
        <v>-37.36</v>
      </c>
    </row>
    <row r="192" spans="1:2" x14ac:dyDescent="0.3">
      <c r="A192">
        <v>10.75</v>
      </c>
      <c r="B192">
        <v>-37.36</v>
      </c>
    </row>
    <row r="193" spans="1:2" x14ac:dyDescent="0.3">
      <c r="A193">
        <v>10.75</v>
      </c>
      <c r="B193">
        <v>-37.229999999999997</v>
      </c>
    </row>
    <row r="194" spans="1:2" x14ac:dyDescent="0.3">
      <c r="A194">
        <v>10.8</v>
      </c>
      <c r="B194">
        <v>-37.229999999999997</v>
      </c>
    </row>
    <row r="195" spans="1:2" x14ac:dyDescent="0.3">
      <c r="A195">
        <v>10.8</v>
      </c>
      <c r="B195">
        <v>-36.99</v>
      </c>
    </row>
    <row r="196" spans="1:2" x14ac:dyDescent="0.3">
      <c r="A196">
        <v>10.85</v>
      </c>
      <c r="B196">
        <v>-36.99</v>
      </c>
    </row>
    <row r="197" spans="1:2" x14ac:dyDescent="0.3">
      <c r="A197">
        <v>10.85</v>
      </c>
      <c r="B197">
        <v>-36.700000000000003</v>
      </c>
    </row>
    <row r="198" spans="1:2" x14ac:dyDescent="0.3">
      <c r="A198">
        <v>10.9</v>
      </c>
      <c r="B198">
        <v>-36.700000000000003</v>
      </c>
    </row>
    <row r="199" spans="1:2" x14ac:dyDescent="0.3">
      <c r="A199">
        <v>10.9</v>
      </c>
      <c r="B199">
        <v>-36.78</v>
      </c>
    </row>
    <row r="200" spans="1:2" x14ac:dyDescent="0.3">
      <c r="A200">
        <v>10.95</v>
      </c>
      <c r="B200">
        <v>-36.78</v>
      </c>
    </row>
    <row r="201" spans="1:2" x14ac:dyDescent="0.3">
      <c r="A201">
        <v>10.95</v>
      </c>
      <c r="B201">
        <v>-36.729999999999997</v>
      </c>
    </row>
    <row r="202" spans="1:2" x14ac:dyDescent="0.3">
      <c r="A202">
        <v>11</v>
      </c>
      <c r="B202">
        <v>-36.729999999999997</v>
      </c>
    </row>
    <row r="203" spans="1:2" x14ac:dyDescent="0.3">
      <c r="A203">
        <v>11</v>
      </c>
      <c r="B203">
        <v>-37.479999999999997</v>
      </c>
    </row>
    <row r="204" spans="1:2" x14ac:dyDescent="0.3">
      <c r="A204">
        <v>11.05</v>
      </c>
      <c r="B204">
        <v>-37.479999999999997</v>
      </c>
    </row>
    <row r="205" spans="1:2" x14ac:dyDescent="0.3">
      <c r="A205">
        <v>11.05</v>
      </c>
      <c r="B205">
        <v>-36.51</v>
      </c>
    </row>
    <row r="206" spans="1:2" x14ac:dyDescent="0.3">
      <c r="A206">
        <v>11.1</v>
      </c>
      <c r="B206">
        <v>-36.51</v>
      </c>
    </row>
    <row r="207" spans="1:2" x14ac:dyDescent="0.3">
      <c r="A207">
        <v>11.1</v>
      </c>
      <c r="B207">
        <v>-36.96</v>
      </c>
    </row>
    <row r="208" spans="1:2" x14ac:dyDescent="0.3">
      <c r="A208">
        <v>11.15</v>
      </c>
      <c r="B208">
        <v>-36.96</v>
      </c>
    </row>
    <row r="209" spans="1:2" x14ac:dyDescent="0.3">
      <c r="A209">
        <v>11.15</v>
      </c>
      <c r="B209">
        <v>-37.44</v>
      </c>
    </row>
    <row r="210" spans="1:2" x14ac:dyDescent="0.3">
      <c r="A210">
        <v>11.2</v>
      </c>
      <c r="B210">
        <v>-37.44</v>
      </c>
    </row>
    <row r="211" spans="1:2" x14ac:dyDescent="0.3">
      <c r="A211">
        <v>11.2</v>
      </c>
      <c r="B211">
        <v>-37.979999999999997</v>
      </c>
    </row>
    <row r="212" spans="1:2" x14ac:dyDescent="0.3">
      <c r="A212">
        <v>11.25</v>
      </c>
      <c r="B212">
        <v>-37.979999999999997</v>
      </c>
    </row>
    <row r="213" spans="1:2" x14ac:dyDescent="0.3">
      <c r="A213">
        <v>11.25</v>
      </c>
      <c r="B213">
        <v>-38.03</v>
      </c>
    </row>
    <row r="214" spans="1:2" x14ac:dyDescent="0.3">
      <c r="A214">
        <v>11.3</v>
      </c>
      <c r="B214">
        <v>-38.03</v>
      </c>
    </row>
    <row r="215" spans="1:2" x14ac:dyDescent="0.3">
      <c r="A215">
        <v>11.3</v>
      </c>
      <c r="B215">
        <v>-37.130000000000003</v>
      </c>
    </row>
    <row r="216" spans="1:2" x14ac:dyDescent="0.3">
      <c r="A216">
        <v>11.35</v>
      </c>
      <c r="B216">
        <v>-37.130000000000003</v>
      </c>
    </row>
    <row r="217" spans="1:2" x14ac:dyDescent="0.3">
      <c r="A217">
        <v>11.35</v>
      </c>
      <c r="B217">
        <v>-36.770000000000003</v>
      </c>
    </row>
    <row r="218" spans="1:2" x14ac:dyDescent="0.3">
      <c r="A218">
        <v>11.4</v>
      </c>
      <c r="B218">
        <v>-36.770000000000003</v>
      </c>
    </row>
    <row r="219" spans="1:2" x14ac:dyDescent="0.3">
      <c r="A219">
        <v>11.4</v>
      </c>
      <c r="B219">
        <v>-36.700000000000003</v>
      </c>
    </row>
    <row r="220" spans="1:2" x14ac:dyDescent="0.3">
      <c r="A220">
        <v>11.45</v>
      </c>
      <c r="B220">
        <v>-36.700000000000003</v>
      </c>
    </row>
    <row r="221" spans="1:2" x14ac:dyDescent="0.3">
      <c r="A221">
        <v>11.45</v>
      </c>
      <c r="B221">
        <v>-38.99</v>
      </c>
    </row>
    <row r="222" spans="1:2" x14ac:dyDescent="0.3">
      <c r="A222">
        <v>11.5</v>
      </c>
      <c r="B222">
        <v>-38.99</v>
      </c>
    </row>
    <row r="223" spans="1:2" x14ac:dyDescent="0.3">
      <c r="A223">
        <v>11.5</v>
      </c>
      <c r="B223">
        <v>-40.22</v>
      </c>
    </row>
    <row r="224" spans="1:2" x14ac:dyDescent="0.3">
      <c r="A224">
        <v>11.55</v>
      </c>
      <c r="B224">
        <v>-40.22</v>
      </c>
    </row>
    <row r="225" spans="1:2" x14ac:dyDescent="0.3">
      <c r="A225">
        <v>11.55</v>
      </c>
      <c r="B225">
        <v>-40.22</v>
      </c>
    </row>
    <row r="226" spans="1:2" x14ac:dyDescent="0.3">
      <c r="A226">
        <v>11.6</v>
      </c>
      <c r="B226">
        <v>-40.22</v>
      </c>
    </row>
    <row r="227" spans="1:2" x14ac:dyDescent="0.3">
      <c r="A227">
        <v>11.6</v>
      </c>
      <c r="B227">
        <v>-39.71</v>
      </c>
    </row>
    <row r="228" spans="1:2" x14ac:dyDescent="0.3">
      <c r="A228">
        <v>11.65</v>
      </c>
      <c r="B228">
        <v>-39.71</v>
      </c>
    </row>
    <row r="229" spans="1:2" x14ac:dyDescent="0.3">
      <c r="A229">
        <v>11.65</v>
      </c>
      <c r="B229">
        <v>-40.840000000000003</v>
      </c>
    </row>
    <row r="230" spans="1:2" x14ac:dyDescent="0.3">
      <c r="A230">
        <v>11.7</v>
      </c>
      <c r="B230">
        <v>-40.840000000000003</v>
      </c>
    </row>
    <row r="231" spans="1:2" x14ac:dyDescent="0.3">
      <c r="A231">
        <v>11.7</v>
      </c>
      <c r="B231">
        <v>-41.04</v>
      </c>
    </row>
    <row r="232" spans="1:2" x14ac:dyDescent="0.3">
      <c r="A232">
        <v>11.75</v>
      </c>
      <c r="B232">
        <v>-41.04</v>
      </c>
    </row>
    <row r="233" spans="1:2" x14ac:dyDescent="0.3">
      <c r="A233">
        <v>11.75</v>
      </c>
      <c r="B233">
        <v>-40.409999999999997</v>
      </c>
    </row>
    <row r="234" spans="1:2" x14ac:dyDescent="0.3">
      <c r="A234">
        <v>11.8</v>
      </c>
      <c r="B234">
        <v>-40.409999999999997</v>
      </c>
    </row>
    <row r="235" spans="1:2" x14ac:dyDescent="0.3">
      <c r="A235">
        <v>11.8</v>
      </c>
      <c r="B235">
        <v>-39.950000000000003</v>
      </c>
    </row>
    <row r="236" spans="1:2" x14ac:dyDescent="0.3">
      <c r="A236">
        <v>11.85</v>
      </c>
      <c r="B236">
        <v>-39.950000000000003</v>
      </c>
    </row>
    <row r="237" spans="1:2" x14ac:dyDescent="0.3">
      <c r="A237">
        <v>11.85</v>
      </c>
      <c r="B237">
        <v>-41.22</v>
      </c>
    </row>
    <row r="238" spans="1:2" x14ac:dyDescent="0.3">
      <c r="A238">
        <v>11.9</v>
      </c>
      <c r="B238">
        <v>-41.22</v>
      </c>
    </row>
    <row r="239" spans="1:2" x14ac:dyDescent="0.3">
      <c r="A239">
        <v>11.9</v>
      </c>
      <c r="B239">
        <v>-41.38</v>
      </c>
    </row>
    <row r="240" spans="1:2" x14ac:dyDescent="0.3">
      <c r="A240">
        <v>11.95</v>
      </c>
      <c r="B240">
        <v>-41.38</v>
      </c>
    </row>
    <row r="241" spans="1:2" x14ac:dyDescent="0.3">
      <c r="A241">
        <v>11.95</v>
      </c>
      <c r="B241">
        <v>-40.630000000000003</v>
      </c>
    </row>
    <row r="242" spans="1:2" x14ac:dyDescent="0.3">
      <c r="A242">
        <v>12</v>
      </c>
      <c r="B242">
        <v>-40.630000000000003</v>
      </c>
    </row>
    <row r="243" spans="1:2" x14ac:dyDescent="0.3">
      <c r="A243">
        <v>12</v>
      </c>
      <c r="B243">
        <v>-40.39</v>
      </c>
    </row>
    <row r="244" spans="1:2" x14ac:dyDescent="0.3">
      <c r="A244">
        <v>12.05</v>
      </c>
      <c r="B244">
        <v>-40.39</v>
      </c>
    </row>
    <row r="245" spans="1:2" x14ac:dyDescent="0.3">
      <c r="A245">
        <v>12.05</v>
      </c>
      <c r="B245">
        <v>-40.76</v>
      </c>
    </row>
    <row r="246" spans="1:2" x14ac:dyDescent="0.3">
      <c r="A246">
        <v>12.1</v>
      </c>
      <c r="B246">
        <v>-40.76</v>
      </c>
    </row>
    <row r="247" spans="1:2" x14ac:dyDescent="0.3">
      <c r="A247">
        <v>12.1</v>
      </c>
      <c r="B247">
        <v>-41.37</v>
      </c>
    </row>
    <row r="248" spans="1:2" x14ac:dyDescent="0.3">
      <c r="A248">
        <v>12.15</v>
      </c>
      <c r="B248">
        <v>-41.37</v>
      </c>
    </row>
    <row r="249" spans="1:2" x14ac:dyDescent="0.3">
      <c r="A249">
        <v>12.15</v>
      </c>
      <c r="B249">
        <v>-40.97</v>
      </c>
    </row>
    <row r="250" spans="1:2" x14ac:dyDescent="0.3">
      <c r="A250">
        <v>12.2</v>
      </c>
      <c r="B250">
        <v>-40.97</v>
      </c>
    </row>
    <row r="251" spans="1:2" x14ac:dyDescent="0.3">
      <c r="A251">
        <v>12.2</v>
      </c>
      <c r="B251">
        <v>-41.06</v>
      </c>
    </row>
    <row r="252" spans="1:2" x14ac:dyDescent="0.3">
      <c r="A252">
        <v>12.25</v>
      </c>
      <c r="B252">
        <v>-41.06</v>
      </c>
    </row>
    <row r="253" spans="1:2" x14ac:dyDescent="0.3">
      <c r="A253">
        <v>12.25</v>
      </c>
      <c r="B253">
        <v>-40.54</v>
      </c>
    </row>
    <row r="254" spans="1:2" x14ac:dyDescent="0.3">
      <c r="A254">
        <v>12.3</v>
      </c>
      <c r="B254">
        <v>-40.54</v>
      </c>
    </row>
    <row r="255" spans="1:2" x14ac:dyDescent="0.3">
      <c r="A255">
        <v>12.3</v>
      </c>
      <c r="B255">
        <v>-40.82</v>
      </c>
    </row>
    <row r="256" spans="1:2" x14ac:dyDescent="0.3">
      <c r="A256">
        <v>12.35</v>
      </c>
      <c r="B256">
        <v>-40.82</v>
      </c>
    </row>
    <row r="257" spans="1:2" x14ac:dyDescent="0.3">
      <c r="A257">
        <v>12.35</v>
      </c>
      <c r="B257">
        <v>-41.67</v>
      </c>
    </row>
    <row r="258" spans="1:2" x14ac:dyDescent="0.3">
      <c r="A258">
        <v>12.4</v>
      </c>
      <c r="B258">
        <v>-41.67</v>
      </c>
    </row>
    <row r="259" spans="1:2" x14ac:dyDescent="0.3">
      <c r="A259">
        <v>12.4</v>
      </c>
      <c r="B259">
        <v>-41.11</v>
      </c>
    </row>
    <row r="260" spans="1:2" x14ac:dyDescent="0.3">
      <c r="A260">
        <v>12.45</v>
      </c>
      <c r="B260">
        <v>-41.11</v>
      </c>
    </row>
    <row r="261" spans="1:2" x14ac:dyDescent="0.3">
      <c r="A261">
        <v>12.45</v>
      </c>
      <c r="B261">
        <v>-42.21</v>
      </c>
    </row>
    <row r="262" spans="1:2" x14ac:dyDescent="0.3">
      <c r="A262">
        <v>12.5</v>
      </c>
      <c r="B262">
        <v>-42.21</v>
      </c>
    </row>
    <row r="263" spans="1:2" x14ac:dyDescent="0.3">
      <c r="A263">
        <v>12.5</v>
      </c>
      <c r="B263">
        <v>-40.86</v>
      </c>
    </row>
    <row r="264" spans="1:2" x14ac:dyDescent="0.3">
      <c r="A264">
        <v>12.55</v>
      </c>
      <c r="B264">
        <v>-40.86</v>
      </c>
    </row>
    <row r="265" spans="1:2" x14ac:dyDescent="0.3">
      <c r="A265">
        <v>12.55</v>
      </c>
      <c r="B265">
        <v>-40.18</v>
      </c>
    </row>
    <row r="266" spans="1:2" x14ac:dyDescent="0.3">
      <c r="A266">
        <v>12.6</v>
      </c>
      <c r="B266">
        <v>-40.18</v>
      </c>
    </row>
    <row r="267" spans="1:2" x14ac:dyDescent="0.3">
      <c r="A267">
        <v>12.6</v>
      </c>
      <c r="B267">
        <v>-39.53</v>
      </c>
    </row>
    <row r="268" spans="1:2" x14ac:dyDescent="0.3">
      <c r="A268">
        <v>12.65</v>
      </c>
      <c r="B268">
        <v>-39.53</v>
      </c>
    </row>
    <row r="269" spans="1:2" x14ac:dyDescent="0.3">
      <c r="A269">
        <v>12.65</v>
      </c>
      <c r="B269">
        <v>-39.03</v>
      </c>
    </row>
    <row r="270" spans="1:2" x14ac:dyDescent="0.3">
      <c r="A270">
        <v>12.7</v>
      </c>
      <c r="B270">
        <v>-39.03</v>
      </c>
    </row>
    <row r="271" spans="1:2" x14ac:dyDescent="0.3">
      <c r="A271">
        <v>12.7</v>
      </c>
      <c r="B271">
        <v>-38.76</v>
      </c>
    </row>
    <row r="272" spans="1:2" x14ac:dyDescent="0.3">
      <c r="A272">
        <v>12.75</v>
      </c>
      <c r="B272">
        <v>-38.76</v>
      </c>
    </row>
    <row r="273" spans="1:2" x14ac:dyDescent="0.3">
      <c r="A273">
        <v>12.75</v>
      </c>
      <c r="B273">
        <v>-39.380000000000003</v>
      </c>
    </row>
    <row r="274" spans="1:2" x14ac:dyDescent="0.3">
      <c r="A274">
        <v>12.8</v>
      </c>
      <c r="B274">
        <v>-39.380000000000003</v>
      </c>
    </row>
    <row r="275" spans="1:2" x14ac:dyDescent="0.3">
      <c r="A275">
        <v>12.8</v>
      </c>
      <c r="B275">
        <v>-39.880000000000003</v>
      </c>
    </row>
    <row r="276" spans="1:2" x14ac:dyDescent="0.3">
      <c r="A276">
        <v>12.85</v>
      </c>
      <c r="B276">
        <v>-39.880000000000003</v>
      </c>
    </row>
    <row r="277" spans="1:2" x14ac:dyDescent="0.3">
      <c r="A277">
        <v>12.85</v>
      </c>
      <c r="B277">
        <v>-40.07</v>
      </c>
    </row>
    <row r="278" spans="1:2" x14ac:dyDescent="0.3">
      <c r="A278">
        <v>12.9</v>
      </c>
      <c r="B278">
        <v>-40.07</v>
      </c>
    </row>
    <row r="279" spans="1:2" x14ac:dyDescent="0.3">
      <c r="A279">
        <v>12.9</v>
      </c>
      <c r="B279">
        <v>-41.07</v>
      </c>
    </row>
    <row r="280" spans="1:2" x14ac:dyDescent="0.3">
      <c r="A280">
        <v>12.95</v>
      </c>
      <c r="B280">
        <v>-41.07</v>
      </c>
    </row>
    <row r="281" spans="1:2" x14ac:dyDescent="0.3">
      <c r="A281">
        <v>12.95</v>
      </c>
      <c r="B281">
        <v>-40.049999999999997</v>
      </c>
    </row>
    <row r="282" spans="1:2" x14ac:dyDescent="0.3">
      <c r="A282">
        <v>13</v>
      </c>
      <c r="B282">
        <v>-40.049999999999997</v>
      </c>
    </row>
    <row r="283" spans="1:2" x14ac:dyDescent="0.3">
      <c r="A283">
        <v>13</v>
      </c>
      <c r="B283">
        <v>-40.200000000000003</v>
      </c>
    </row>
    <row r="284" spans="1:2" x14ac:dyDescent="0.3">
      <c r="A284">
        <v>13.05</v>
      </c>
      <c r="B284">
        <v>-40.200000000000003</v>
      </c>
    </row>
    <row r="285" spans="1:2" x14ac:dyDescent="0.3">
      <c r="A285">
        <v>13.05</v>
      </c>
      <c r="B285">
        <v>-39.07</v>
      </c>
    </row>
    <row r="286" spans="1:2" x14ac:dyDescent="0.3">
      <c r="A286">
        <v>13.1</v>
      </c>
      <c r="B286">
        <v>-39.07</v>
      </c>
    </row>
    <row r="287" spans="1:2" x14ac:dyDescent="0.3">
      <c r="A287">
        <v>13.1</v>
      </c>
      <c r="B287">
        <v>-39.19</v>
      </c>
    </row>
    <row r="288" spans="1:2" x14ac:dyDescent="0.3">
      <c r="A288">
        <v>13.15</v>
      </c>
      <c r="B288">
        <v>-39.19</v>
      </c>
    </row>
    <row r="289" spans="1:2" x14ac:dyDescent="0.3">
      <c r="A289">
        <v>13.15</v>
      </c>
      <c r="B289">
        <v>-38.57</v>
      </c>
    </row>
    <row r="290" spans="1:2" x14ac:dyDescent="0.3">
      <c r="A290">
        <v>13.2</v>
      </c>
      <c r="B290">
        <v>-38.57</v>
      </c>
    </row>
    <row r="291" spans="1:2" x14ac:dyDescent="0.3">
      <c r="A291">
        <v>13.2</v>
      </c>
      <c r="B291">
        <v>-38.44</v>
      </c>
    </row>
    <row r="292" spans="1:2" x14ac:dyDescent="0.3">
      <c r="A292">
        <v>13.25</v>
      </c>
      <c r="B292">
        <v>-38.44</v>
      </c>
    </row>
    <row r="293" spans="1:2" x14ac:dyDescent="0.3">
      <c r="A293">
        <v>13.25</v>
      </c>
      <c r="B293">
        <v>-38.61</v>
      </c>
    </row>
    <row r="294" spans="1:2" x14ac:dyDescent="0.3">
      <c r="A294">
        <v>13.3</v>
      </c>
      <c r="B294">
        <v>-38.61</v>
      </c>
    </row>
    <row r="295" spans="1:2" x14ac:dyDescent="0.3">
      <c r="A295">
        <v>13.3</v>
      </c>
      <c r="B295">
        <v>-38.01</v>
      </c>
    </row>
    <row r="296" spans="1:2" x14ac:dyDescent="0.3">
      <c r="A296">
        <v>13.35</v>
      </c>
      <c r="B296">
        <v>-38.01</v>
      </c>
    </row>
    <row r="297" spans="1:2" x14ac:dyDescent="0.3">
      <c r="A297">
        <v>13.35</v>
      </c>
      <c r="B297">
        <v>-38.520000000000003</v>
      </c>
    </row>
    <row r="298" spans="1:2" x14ac:dyDescent="0.3">
      <c r="A298">
        <v>13.4</v>
      </c>
      <c r="B298">
        <v>-38.520000000000003</v>
      </c>
    </row>
    <row r="299" spans="1:2" x14ac:dyDescent="0.3">
      <c r="A299">
        <v>13.4</v>
      </c>
      <c r="B299">
        <v>-39.25</v>
      </c>
    </row>
    <row r="300" spans="1:2" x14ac:dyDescent="0.3">
      <c r="A300">
        <v>13.45</v>
      </c>
      <c r="B300">
        <v>-39.25</v>
      </c>
    </row>
    <row r="301" spans="1:2" x14ac:dyDescent="0.3">
      <c r="A301">
        <v>13.45</v>
      </c>
      <c r="B301">
        <v>-39.770000000000003</v>
      </c>
    </row>
    <row r="302" spans="1:2" x14ac:dyDescent="0.3">
      <c r="A302">
        <v>13.5</v>
      </c>
      <c r="B302">
        <v>-39.770000000000003</v>
      </c>
    </row>
    <row r="303" spans="1:2" x14ac:dyDescent="0.3">
      <c r="A303">
        <v>13.5</v>
      </c>
      <c r="B303">
        <v>-38.74</v>
      </c>
    </row>
    <row r="304" spans="1:2" x14ac:dyDescent="0.3">
      <c r="A304">
        <v>13.55</v>
      </c>
      <c r="B304">
        <v>-38.74</v>
      </c>
    </row>
    <row r="305" spans="1:2" x14ac:dyDescent="0.3">
      <c r="A305">
        <v>13.55</v>
      </c>
      <c r="B305">
        <v>-38.25</v>
      </c>
    </row>
    <row r="306" spans="1:2" x14ac:dyDescent="0.3">
      <c r="A306">
        <v>13.6</v>
      </c>
      <c r="B306">
        <v>-38.25</v>
      </c>
    </row>
    <row r="307" spans="1:2" x14ac:dyDescent="0.3">
      <c r="A307">
        <v>13.6</v>
      </c>
      <c r="B307">
        <v>-39.08</v>
      </c>
    </row>
    <row r="308" spans="1:2" x14ac:dyDescent="0.3">
      <c r="A308">
        <v>13.65</v>
      </c>
      <c r="B308">
        <v>-39.08</v>
      </c>
    </row>
    <row r="309" spans="1:2" x14ac:dyDescent="0.3">
      <c r="A309">
        <v>13.65</v>
      </c>
      <c r="B309">
        <v>-38.380000000000003</v>
      </c>
    </row>
    <row r="310" spans="1:2" x14ac:dyDescent="0.3">
      <c r="A310">
        <v>13.7</v>
      </c>
      <c r="B310">
        <v>-38.380000000000003</v>
      </c>
    </row>
    <row r="311" spans="1:2" x14ac:dyDescent="0.3">
      <c r="A311">
        <v>13.7</v>
      </c>
      <c r="B311">
        <v>-38.08</v>
      </c>
    </row>
    <row r="312" spans="1:2" x14ac:dyDescent="0.3">
      <c r="A312">
        <v>13.75</v>
      </c>
      <c r="B312">
        <v>-38.08</v>
      </c>
    </row>
    <row r="313" spans="1:2" x14ac:dyDescent="0.3">
      <c r="A313">
        <v>13.75</v>
      </c>
      <c r="B313">
        <v>-38.39</v>
      </c>
    </row>
    <row r="314" spans="1:2" x14ac:dyDescent="0.3">
      <c r="A314">
        <v>13.8</v>
      </c>
      <c r="B314">
        <v>-38.39</v>
      </c>
    </row>
    <row r="315" spans="1:2" x14ac:dyDescent="0.3">
      <c r="A315">
        <v>13.8</v>
      </c>
      <c r="B315">
        <v>-39.46</v>
      </c>
    </row>
    <row r="316" spans="1:2" x14ac:dyDescent="0.3">
      <c r="A316">
        <v>13.85</v>
      </c>
      <c r="B316">
        <v>-39.46</v>
      </c>
    </row>
    <row r="317" spans="1:2" x14ac:dyDescent="0.3">
      <c r="A317">
        <v>13.85</v>
      </c>
      <c r="B317">
        <v>-40.11</v>
      </c>
    </row>
    <row r="318" spans="1:2" x14ac:dyDescent="0.3">
      <c r="A318">
        <v>13.9</v>
      </c>
      <c r="B318">
        <v>-40.11</v>
      </c>
    </row>
    <row r="319" spans="1:2" x14ac:dyDescent="0.3">
      <c r="A319">
        <v>13.9</v>
      </c>
      <c r="B319">
        <v>-39.71</v>
      </c>
    </row>
    <row r="320" spans="1:2" x14ac:dyDescent="0.3">
      <c r="A320">
        <v>13.95</v>
      </c>
      <c r="B320">
        <v>-39.71</v>
      </c>
    </row>
    <row r="321" spans="1:2" x14ac:dyDescent="0.3">
      <c r="A321">
        <v>13.95</v>
      </c>
      <c r="B321">
        <v>-38.25</v>
      </c>
    </row>
    <row r="322" spans="1:2" x14ac:dyDescent="0.3">
      <c r="A322">
        <v>14</v>
      </c>
      <c r="B322">
        <v>-38.25</v>
      </c>
    </row>
    <row r="323" spans="1:2" x14ac:dyDescent="0.3">
      <c r="A323">
        <v>14</v>
      </c>
      <c r="B323">
        <v>-38.14</v>
      </c>
    </row>
    <row r="324" spans="1:2" x14ac:dyDescent="0.3">
      <c r="A324">
        <v>14.05</v>
      </c>
      <c r="B324">
        <v>-38.14</v>
      </c>
    </row>
    <row r="325" spans="1:2" x14ac:dyDescent="0.3">
      <c r="A325">
        <v>14.05</v>
      </c>
      <c r="B325">
        <v>-37.89</v>
      </c>
    </row>
    <row r="326" spans="1:2" x14ac:dyDescent="0.3">
      <c r="A326">
        <v>14.1</v>
      </c>
      <c r="B326">
        <v>-37.89</v>
      </c>
    </row>
    <row r="327" spans="1:2" x14ac:dyDescent="0.3">
      <c r="A327">
        <v>14.1</v>
      </c>
      <c r="B327">
        <v>-37.590000000000003</v>
      </c>
    </row>
    <row r="328" spans="1:2" x14ac:dyDescent="0.3">
      <c r="A328">
        <v>14.15</v>
      </c>
      <c r="B328">
        <v>-37.590000000000003</v>
      </c>
    </row>
    <row r="329" spans="1:2" x14ac:dyDescent="0.3">
      <c r="A329">
        <v>14.15</v>
      </c>
      <c r="B329">
        <v>-37.21</v>
      </c>
    </row>
    <row r="330" spans="1:2" x14ac:dyDescent="0.3">
      <c r="A330">
        <v>14.2</v>
      </c>
      <c r="B330">
        <v>-37.21</v>
      </c>
    </row>
    <row r="331" spans="1:2" x14ac:dyDescent="0.3">
      <c r="A331">
        <v>14.2</v>
      </c>
      <c r="B331">
        <v>-37.17</v>
      </c>
    </row>
    <row r="332" spans="1:2" x14ac:dyDescent="0.3">
      <c r="A332">
        <v>14.25</v>
      </c>
      <c r="B332">
        <v>-37.17</v>
      </c>
    </row>
    <row r="333" spans="1:2" x14ac:dyDescent="0.3">
      <c r="A333">
        <v>14.25</v>
      </c>
      <c r="B333">
        <v>-36.950000000000003</v>
      </c>
    </row>
    <row r="334" spans="1:2" x14ac:dyDescent="0.3">
      <c r="A334">
        <v>14.3</v>
      </c>
      <c r="B334">
        <v>-36.950000000000003</v>
      </c>
    </row>
    <row r="335" spans="1:2" x14ac:dyDescent="0.3">
      <c r="A335">
        <v>14.3</v>
      </c>
      <c r="B335">
        <v>-37.29</v>
      </c>
    </row>
    <row r="336" spans="1:2" x14ac:dyDescent="0.3">
      <c r="A336">
        <v>14.35</v>
      </c>
      <c r="B336">
        <v>-37.29</v>
      </c>
    </row>
    <row r="337" spans="1:2" x14ac:dyDescent="0.3">
      <c r="A337">
        <v>14.35</v>
      </c>
      <c r="B337">
        <v>-36.26</v>
      </c>
    </row>
    <row r="338" spans="1:2" x14ac:dyDescent="0.3">
      <c r="A338">
        <v>14.4</v>
      </c>
      <c r="B338">
        <v>-36.26</v>
      </c>
    </row>
    <row r="339" spans="1:2" x14ac:dyDescent="0.3">
      <c r="A339">
        <v>14.4</v>
      </c>
      <c r="B339">
        <v>-36.25</v>
      </c>
    </row>
    <row r="340" spans="1:2" x14ac:dyDescent="0.3">
      <c r="A340">
        <v>14.45</v>
      </c>
      <c r="B340">
        <v>-36.25</v>
      </c>
    </row>
    <row r="341" spans="1:2" x14ac:dyDescent="0.3">
      <c r="A341">
        <v>14.45</v>
      </c>
      <c r="B341">
        <v>-36.4</v>
      </c>
    </row>
    <row r="342" spans="1:2" x14ac:dyDescent="0.3">
      <c r="A342">
        <v>14.5</v>
      </c>
      <c r="B342">
        <v>-36.4</v>
      </c>
    </row>
    <row r="343" spans="1:2" x14ac:dyDescent="0.3">
      <c r="A343">
        <v>14.5</v>
      </c>
      <c r="B343">
        <v>-37.47</v>
      </c>
    </row>
    <row r="344" spans="1:2" x14ac:dyDescent="0.3">
      <c r="A344">
        <v>14.55</v>
      </c>
      <c r="B344">
        <v>-37.47</v>
      </c>
    </row>
    <row r="345" spans="1:2" x14ac:dyDescent="0.3">
      <c r="A345">
        <v>14.55</v>
      </c>
      <c r="B345">
        <v>-40.06</v>
      </c>
    </row>
    <row r="346" spans="1:2" x14ac:dyDescent="0.3">
      <c r="A346">
        <v>14.6</v>
      </c>
      <c r="B346">
        <v>-40.06</v>
      </c>
    </row>
    <row r="347" spans="1:2" x14ac:dyDescent="0.3">
      <c r="A347">
        <v>14.6</v>
      </c>
      <c r="B347">
        <v>-41.75</v>
      </c>
    </row>
    <row r="348" spans="1:2" x14ac:dyDescent="0.3">
      <c r="A348">
        <v>14.65</v>
      </c>
      <c r="B348">
        <v>-41.75</v>
      </c>
    </row>
    <row r="349" spans="1:2" x14ac:dyDescent="0.3">
      <c r="A349">
        <v>14.65</v>
      </c>
      <c r="B349">
        <v>-40.58</v>
      </c>
    </row>
    <row r="350" spans="1:2" x14ac:dyDescent="0.3">
      <c r="A350">
        <v>14.7</v>
      </c>
      <c r="B350">
        <v>-40.58</v>
      </c>
    </row>
    <row r="351" spans="1:2" x14ac:dyDescent="0.3">
      <c r="A351">
        <v>14.7</v>
      </c>
      <c r="B351">
        <v>-41.6</v>
      </c>
    </row>
    <row r="352" spans="1:2" x14ac:dyDescent="0.3">
      <c r="A352">
        <v>14.75</v>
      </c>
      <c r="B352">
        <v>-41.6</v>
      </c>
    </row>
    <row r="353" spans="1:2" x14ac:dyDescent="0.3">
      <c r="A353">
        <v>14.75</v>
      </c>
      <c r="B353">
        <v>-41.13</v>
      </c>
    </row>
    <row r="354" spans="1:2" x14ac:dyDescent="0.3">
      <c r="A354">
        <v>14.8</v>
      </c>
      <c r="B354">
        <v>-41.13</v>
      </c>
    </row>
    <row r="355" spans="1:2" x14ac:dyDescent="0.3">
      <c r="A355">
        <v>14.8</v>
      </c>
      <c r="B355">
        <v>-41.56</v>
      </c>
    </row>
    <row r="356" spans="1:2" x14ac:dyDescent="0.3">
      <c r="A356">
        <v>14.85</v>
      </c>
      <c r="B356">
        <v>-41.56</v>
      </c>
    </row>
    <row r="357" spans="1:2" x14ac:dyDescent="0.3">
      <c r="A357">
        <v>14.85</v>
      </c>
      <c r="B357">
        <v>-42.31</v>
      </c>
    </row>
    <row r="358" spans="1:2" x14ac:dyDescent="0.3">
      <c r="A358">
        <v>14.9</v>
      </c>
      <c r="B358">
        <v>-42.31</v>
      </c>
    </row>
    <row r="359" spans="1:2" x14ac:dyDescent="0.3">
      <c r="A359">
        <v>14.9</v>
      </c>
      <c r="B359">
        <v>-42.03</v>
      </c>
    </row>
    <row r="360" spans="1:2" x14ac:dyDescent="0.3">
      <c r="A360">
        <v>14.95</v>
      </c>
      <c r="B360">
        <v>-42.03</v>
      </c>
    </row>
    <row r="361" spans="1:2" x14ac:dyDescent="0.3">
      <c r="A361">
        <v>14.95</v>
      </c>
      <c r="B361">
        <v>-42.06</v>
      </c>
    </row>
    <row r="362" spans="1:2" x14ac:dyDescent="0.3">
      <c r="A362">
        <v>15</v>
      </c>
      <c r="B362">
        <v>-42.06</v>
      </c>
    </row>
    <row r="363" spans="1:2" x14ac:dyDescent="0.3">
      <c r="A363">
        <v>15</v>
      </c>
      <c r="B363">
        <v>-42.01</v>
      </c>
    </row>
    <row r="364" spans="1:2" x14ac:dyDescent="0.3">
      <c r="A364">
        <v>15.05</v>
      </c>
      <c r="B364">
        <v>-42.01</v>
      </c>
    </row>
    <row r="365" spans="1:2" x14ac:dyDescent="0.3">
      <c r="A365">
        <v>15.05</v>
      </c>
      <c r="B365">
        <v>-42.23</v>
      </c>
    </row>
    <row r="366" spans="1:2" x14ac:dyDescent="0.3">
      <c r="A366">
        <v>15.1</v>
      </c>
      <c r="B366">
        <v>-42.23</v>
      </c>
    </row>
    <row r="367" spans="1:2" x14ac:dyDescent="0.3">
      <c r="A367">
        <v>15.1</v>
      </c>
      <c r="B367">
        <v>-42.55</v>
      </c>
    </row>
    <row r="368" spans="1:2" x14ac:dyDescent="0.3">
      <c r="A368">
        <v>15.15</v>
      </c>
      <c r="B368">
        <v>-42.55</v>
      </c>
    </row>
    <row r="369" spans="1:2" x14ac:dyDescent="0.3">
      <c r="A369">
        <v>15.15</v>
      </c>
      <c r="B369">
        <v>-40.78</v>
      </c>
    </row>
    <row r="370" spans="1:2" x14ac:dyDescent="0.3">
      <c r="A370">
        <v>15.2</v>
      </c>
      <c r="B370">
        <v>-40.78</v>
      </c>
    </row>
    <row r="371" spans="1:2" x14ac:dyDescent="0.3">
      <c r="A371">
        <v>15.2</v>
      </c>
      <c r="B371">
        <v>-42.38</v>
      </c>
    </row>
    <row r="372" spans="1:2" x14ac:dyDescent="0.3">
      <c r="A372">
        <v>15.25</v>
      </c>
      <c r="B372">
        <v>-42.38</v>
      </c>
    </row>
    <row r="373" spans="1:2" x14ac:dyDescent="0.3">
      <c r="A373">
        <v>15.25</v>
      </c>
      <c r="B373">
        <v>-42</v>
      </c>
    </row>
    <row r="374" spans="1:2" x14ac:dyDescent="0.3">
      <c r="A374">
        <v>15.3</v>
      </c>
      <c r="B374">
        <v>-42</v>
      </c>
    </row>
    <row r="375" spans="1:2" x14ac:dyDescent="0.3">
      <c r="A375">
        <v>15.3</v>
      </c>
      <c r="B375">
        <v>-42.55</v>
      </c>
    </row>
    <row r="376" spans="1:2" x14ac:dyDescent="0.3">
      <c r="A376">
        <v>15.35</v>
      </c>
      <c r="B376">
        <v>-42.55</v>
      </c>
    </row>
    <row r="377" spans="1:2" x14ac:dyDescent="0.3">
      <c r="A377">
        <v>15.35</v>
      </c>
      <c r="B377">
        <v>-43.48</v>
      </c>
    </row>
    <row r="378" spans="1:2" x14ac:dyDescent="0.3">
      <c r="A378">
        <v>15.4</v>
      </c>
      <c r="B378">
        <v>-43.48</v>
      </c>
    </row>
    <row r="379" spans="1:2" x14ac:dyDescent="0.3">
      <c r="A379">
        <v>15.4</v>
      </c>
      <c r="B379">
        <v>-42.76</v>
      </c>
    </row>
    <row r="380" spans="1:2" x14ac:dyDescent="0.3">
      <c r="A380">
        <v>15.45</v>
      </c>
      <c r="B380">
        <v>-42.76</v>
      </c>
    </row>
    <row r="381" spans="1:2" x14ac:dyDescent="0.3">
      <c r="A381">
        <v>15.45</v>
      </c>
      <c r="B381">
        <v>-41.94</v>
      </c>
    </row>
    <row r="382" spans="1:2" x14ac:dyDescent="0.3">
      <c r="A382">
        <v>15.5</v>
      </c>
      <c r="B382">
        <v>-41.94</v>
      </c>
    </row>
    <row r="383" spans="1:2" x14ac:dyDescent="0.3">
      <c r="A383">
        <v>15.5</v>
      </c>
      <c r="B383">
        <v>-43.63</v>
      </c>
    </row>
    <row r="384" spans="1:2" x14ac:dyDescent="0.3">
      <c r="A384">
        <v>15.55</v>
      </c>
      <c r="B384">
        <v>-43.63</v>
      </c>
    </row>
    <row r="385" spans="1:2" x14ac:dyDescent="0.3">
      <c r="A385">
        <v>15.55</v>
      </c>
      <c r="B385">
        <v>-43.29</v>
      </c>
    </row>
    <row r="386" spans="1:2" x14ac:dyDescent="0.3">
      <c r="A386">
        <v>15.6</v>
      </c>
      <c r="B386">
        <v>-43.29</v>
      </c>
    </row>
    <row r="387" spans="1:2" x14ac:dyDescent="0.3">
      <c r="A387">
        <v>15.6</v>
      </c>
      <c r="B387">
        <v>-41.41</v>
      </c>
    </row>
    <row r="388" spans="1:2" x14ac:dyDescent="0.3">
      <c r="A388">
        <v>15.65</v>
      </c>
      <c r="B388">
        <v>-41.41</v>
      </c>
    </row>
    <row r="389" spans="1:2" x14ac:dyDescent="0.3">
      <c r="A389">
        <v>15.65</v>
      </c>
      <c r="B389">
        <v>-41.92</v>
      </c>
    </row>
    <row r="390" spans="1:2" x14ac:dyDescent="0.3">
      <c r="A390">
        <v>15.7</v>
      </c>
      <c r="B390">
        <v>-41.92</v>
      </c>
    </row>
    <row r="391" spans="1:2" x14ac:dyDescent="0.3">
      <c r="A391">
        <v>15.7</v>
      </c>
      <c r="B391">
        <v>-41.69</v>
      </c>
    </row>
    <row r="392" spans="1:2" x14ac:dyDescent="0.3">
      <c r="A392">
        <v>15.75</v>
      </c>
      <c r="B392">
        <v>-41.69</v>
      </c>
    </row>
    <row r="393" spans="1:2" x14ac:dyDescent="0.3">
      <c r="A393">
        <v>15.75</v>
      </c>
      <c r="B393">
        <v>-41.88</v>
      </c>
    </row>
    <row r="394" spans="1:2" x14ac:dyDescent="0.3">
      <c r="A394">
        <v>15.8</v>
      </c>
      <c r="B394">
        <v>-41.88</v>
      </c>
    </row>
    <row r="395" spans="1:2" x14ac:dyDescent="0.3">
      <c r="A395">
        <v>15.8</v>
      </c>
      <c r="B395">
        <v>-41.53</v>
      </c>
    </row>
    <row r="396" spans="1:2" x14ac:dyDescent="0.3">
      <c r="A396">
        <v>15.85</v>
      </c>
      <c r="B396">
        <v>-41.53</v>
      </c>
    </row>
    <row r="397" spans="1:2" x14ac:dyDescent="0.3">
      <c r="A397">
        <v>15.85</v>
      </c>
      <c r="B397">
        <v>-43.56</v>
      </c>
    </row>
    <row r="398" spans="1:2" x14ac:dyDescent="0.3">
      <c r="A398">
        <v>15.9</v>
      </c>
      <c r="B398">
        <v>-43.56</v>
      </c>
    </row>
    <row r="399" spans="1:2" x14ac:dyDescent="0.3">
      <c r="A399">
        <v>15.9</v>
      </c>
      <c r="B399">
        <v>-42.18</v>
      </c>
    </row>
    <row r="400" spans="1:2" x14ac:dyDescent="0.3">
      <c r="A400">
        <v>15.95</v>
      </c>
      <c r="B400">
        <v>-42.18</v>
      </c>
    </row>
    <row r="401" spans="1:2" x14ac:dyDescent="0.3">
      <c r="A401">
        <v>15.95</v>
      </c>
      <c r="B401">
        <v>-42.41</v>
      </c>
    </row>
    <row r="402" spans="1:2" x14ac:dyDescent="0.3">
      <c r="A402">
        <v>16</v>
      </c>
      <c r="B402">
        <v>-42.41</v>
      </c>
    </row>
    <row r="403" spans="1:2" x14ac:dyDescent="0.3">
      <c r="A403">
        <v>16</v>
      </c>
      <c r="B403">
        <v>-41.45</v>
      </c>
    </row>
    <row r="404" spans="1:2" x14ac:dyDescent="0.3">
      <c r="A404">
        <v>16.05</v>
      </c>
      <c r="B404">
        <v>-41.45</v>
      </c>
    </row>
    <row r="405" spans="1:2" x14ac:dyDescent="0.3">
      <c r="A405">
        <v>16.05</v>
      </c>
      <c r="B405">
        <v>-42.01</v>
      </c>
    </row>
    <row r="406" spans="1:2" x14ac:dyDescent="0.3">
      <c r="A406">
        <v>16.100000000000001</v>
      </c>
      <c r="B406">
        <v>-42.01</v>
      </c>
    </row>
    <row r="407" spans="1:2" x14ac:dyDescent="0.3">
      <c r="A407">
        <v>16.100000000000001</v>
      </c>
      <c r="B407">
        <v>-41.61</v>
      </c>
    </row>
    <row r="408" spans="1:2" x14ac:dyDescent="0.3">
      <c r="A408">
        <v>16.149999999999999</v>
      </c>
      <c r="B408">
        <v>-41.61</v>
      </c>
    </row>
    <row r="409" spans="1:2" x14ac:dyDescent="0.3">
      <c r="A409">
        <v>16.149999999999999</v>
      </c>
      <c r="B409">
        <v>-41.68</v>
      </c>
    </row>
    <row r="410" spans="1:2" x14ac:dyDescent="0.3">
      <c r="A410">
        <v>16.2</v>
      </c>
      <c r="B410">
        <v>-41.68</v>
      </c>
    </row>
    <row r="411" spans="1:2" x14ac:dyDescent="0.3">
      <c r="A411">
        <v>16.2</v>
      </c>
      <c r="B411">
        <v>-40.799999999999997</v>
      </c>
    </row>
    <row r="412" spans="1:2" x14ac:dyDescent="0.3">
      <c r="A412">
        <v>16.25</v>
      </c>
      <c r="B412">
        <v>-40.799999999999997</v>
      </c>
    </row>
    <row r="413" spans="1:2" x14ac:dyDescent="0.3">
      <c r="A413">
        <v>16.25</v>
      </c>
      <c r="B413">
        <v>-41</v>
      </c>
    </row>
    <row r="414" spans="1:2" x14ac:dyDescent="0.3">
      <c r="A414">
        <v>16.3</v>
      </c>
      <c r="B414">
        <v>-41</v>
      </c>
    </row>
    <row r="415" spans="1:2" x14ac:dyDescent="0.3">
      <c r="A415">
        <v>16.3</v>
      </c>
      <c r="B415">
        <v>-41.82</v>
      </c>
    </row>
    <row r="416" spans="1:2" x14ac:dyDescent="0.3">
      <c r="A416">
        <v>16.350000000000001</v>
      </c>
      <c r="B416">
        <v>-41.82</v>
      </c>
    </row>
    <row r="417" spans="1:2" x14ac:dyDescent="0.3">
      <c r="A417">
        <v>16.350000000000001</v>
      </c>
      <c r="B417">
        <v>-41.36</v>
      </c>
    </row>
    <row r="418" spans="1:2" x14ac:dyDescent="0.3">
      <c r="A418">
        <v>16.399999999999999</v>
      </c>
      <c r="B418">
        <v>-41.36</v>
      </c>
    </row>
    <row r="419" spans="1:2" x14ac:dyDescent="0.3">
      <c r="A419">
        <v>16.399999999999999</v>
      </c>
      <c r="B419">
        <v>-41.17</v>
      </c>
    </row>
    <row r="420" spans="1:2" x14ac:dyDescent="0.3">
      <c r="A420">
        <v>16.45</v>
      </c>
      <c r="B420">
        <v>-41.17</v>
      </c>
    </row>
    <row r="421" spans="1:2" x14ac:dyDescent="0.3">
      <c r="A421">
        <v>16.45</v>
      </c>
      <c r="B421">
        <v>-40.44</v>
      </c>
    </row>
    <row r="422" spans="1:2" x14ac:dyDescent="0.3">
      <c r="A422">
        <v>16.5</v>
      </c>
      <c r="B422">
        <v>-40.44</v>
      </c>
    </row>
    <row r="423" spans="1:2" x14ac:dyDescent="0.3">
      <c r="A423">
        <v>16.5</v>
      </c>
      <c r="B423">
        <v>-40.31</v>
      </c>
    </row>
    <row r="424" spans="1:2" x14ac:dyDescent="0.3">
      <c r="A424">
        <v>16.55</v>
      </c>
      <c r="B424">
        <v>-40.31</v>
      </c>
    </row>
    <row r="425" spans="1:2" x14ac:dyDescent="0.3">
      <c r="A425">
        <v>16.55</v>
      </c>
      <c r="B425">
        <v>-41.9</v>
      </c>
    </row>
    <row r="426" spans="1:2" x14ac:dyDescent="0.3">
      <c r="A426">
        <v>16.600000000000001</v>
      </c>
      <c r="B426">
        <v>-41.9</v>
      </c>
    </row>
    <row r="427" spans="1:2" x14ac:dyDescent="0.3">
      <c r="A427">
        <v>16.600000000000001</v>
      </c>
      <c r="B427">
        <v>-41.28</v>
      </c>
    </row>
    <row r="428" spans="1:2" x14ac:dyDescent="0.3">
      <c r="A428">
        <v>16.649999999999999</v>
      </c>
      <c r="B428">
        <v>-41.28</v>
      </c>
    </row>
    <row r="429" spans="1:2" x14ac:dyDescent="0.3">
      <c r="A429">
        <v>16.649999999999999</v>
      </c>
      <c r="B429">
        <v>-40.42</v>
      </c>
    </row>
    <row r="430" spans="1:2" x14ac:dyDescent="0.3">
      <c r="A430">
        <v>16.7</v>
      </c>
      <c r="B430">
        <v>-40.42</v>
      </c>
    </row>
    <row r="431" spans="1:2" x14ac:dyDescent="0.3">
      <c r="A431">
        <v>16.7</v>
      </c>
      <c r="B431">
        <v>-40.42</v>
      </c>
    </row>
    <row r="432" spans="1:2" x14ac:dyDescent="0.3">
      <c r="A432">
        <v>16.75</v>
      </c>
      <c r="B432">
        <v>-40.42</v>
      </c>
    </row>
    <row r="433" spans="1:2" x14ac:dyDescent="0.3">
      <c r="A433">
        <v>16.75</v>
      </c>
      <c r="B433">
        <v>-40.450000000000003</v>
      </c>
    </row>
    <row r="434" spans="1:2" x14ac:dyDescent="0.3">
      <c r="A434">
        <v>16.8</v>
      </c>
      <c r="B434">
        <v>-40.450000000000003</v>
      </c>
    </row>
    <row r="435" spans="1:2" x14ac:dyDescent="0.3">
      <c r="A435">
        <v>16.8</v>
      </c>
      <c r="B435">
        <v>-40.99</v>
      </c>
    </row>
    <row r="436" spans="1:2" x14ac:dyDescent="0.3">
      <c r="A436">
        <v>16.850000000000001</v>
      </c>
      <c r="B436">
        <v>-40.99</v>
      </c>
    </row>
    <row r="437" spans="1:2" x14ac:dyDescent="0.3">
      <c r="A437">
        <v>16.850000000000001</v>
      </c>
      <c r="B437">
        <v>-40.76</v>
      </c>
    </row>
    <row r="438" spans="1:2" x14ac:dyDescent="0.3">
      <c r="A438">
        <v>16.899999999999999</v>
      </c>
      <c r="B438">
        <v>-40.76</v>
      </c>
    </row>
    <row r="439" spans="1:2" x14ac:dyDescent="0.3">
      <c r="A439">
        <v>16.899999999999999</v>
      </c>
      <c r="B439">
        <v>-41.02</v>
      </c>
    </row>
    <row r="440" spans="1:2" x14ac:dyDescent="0.3">
      <c r="A440">
        <v>16.95</v>
      </c>
      <c r="B440">
        <v>-41.02</v>
      </c>
    </row>
    <row r="441" spans="1:2" x14ac:dyDescent="0.3">
      <c r="A441">
        <v>16.95</v>
      </c>
      <c r="B441">
        <v>-42.02</v>
      </c>
    </row>
    <row r="442" spans="1:2" x14ac:dyDescent="0.3">
      <c r="A442">
        <v>17</v>
      </c>
      <c r="B442">
        <v>-42.02</v>
      </c>
    </row>
    <row r="443" spans="1:2" x14ac:dyDescent="0.3">
      <c r="A443">
        <v>17</v>
      </c>
      <c r="B443">
        <v>-41.14</v>
      </c>
    </row>
    <row r="444" spans="1:2" x14ac:dyDescent="0.3">
      <c r="A444">
        <v>17.05</v>
      </c>
      <c r="B444">
        <v>-41.14</v>
      </c>
    </row>
    <row r="445" spans="1:2" x14ac:dyDescent="0.3">
      <c r="A445">
        <v>17.05</v>
      </c>
      <c r="B445">
        <v>-40.270000000000003</v>
      </c>
    </row>
    <row r="446" spans="1:2" x14ac:dyDescent="0.3">
      <c r="A446">
        <v>17.100000000000001</v>
      </c>
      <c r="B446">
        <v>-40.270000000000003</v>
      </c>
    </row>
    <row r="447" spans="1:2" x14ac:dyDescent="0.3">
      <c r="A447">
        <v>17.100000000000001</v>
      </c>
      <c r="B447">
        <v>-40.18</v>
      </c>
    </row>
    <row r="448" spans="1:2" x14ac:dyDescent="0.3">
      <c r="A448">
        <v>17.149999999999999</v>
      </c>
      <c r="B448">
        <v>-40.18</v>
      </c>
    </row>
    <row r="449" spans="1:2" x14ac:dyDescent="0.3">
      <c r="A449">
        <v>17.149999999999999</v>
      </c>
      <c r="B449">
        <v>-41.44</v>
      </c>
    </row>
    <row r="450" spans="1:2" x14ac:dyDescent="0.3">
      <c r="A450">
        <v>17.2</v>
      </c>
      <c r="B450">
        <v>-41.44</v>
      </c>
    </row>
    <row r="451" spans="1:2" x14ac:dyDescent="0.3">
      <c r="A451">
        <v>17.2</v>
      </c>
      <c r="B451">
        <v>-40.659999999999997</v>
      </c>
    </row>
    <row r="452" spans="1:2" x14ac:dyDescent="0.3">
      <c r="A452">
        <v>17.25</v>
      </c>
      <c r="B452">
        <v>-40.659999999999997</v>
      </c>
    </row>
    <row r="453" spans="1:2" x14ac:dyDescent="0.3">
      <c r="A453">
        <v>17.25</v>
      </c>
      <c r="B453">
        <v>-41.15</v>
      </c>
    </row>
    <row r="454" spans="1:2" x14ac:dyDescent="0.3">
      <c r="A454">
        <v>17.3</v>
      </c>
      <c r="B454">
        <v>-41.15</v>
      </c>
    </row>
    <row r="455" spans="1:2" x14ac:dyDescent="0.3">
      <c r="A455">
        <v>17.3</v>
      </c>
      <c r="B455">
        <v>-41.88</v>
      </c>
    </row>
    <row r="456" spans="1:2" x14ac:dyDescent="0.3">
      <c r="A456">
        <v>17.350000000000001</v>
      </c>
      <c r="B456">
        <v>-41.88</v>
      </c>
    </row>
    <row r="457" spans="1:2" x14ac:dyDescent="0.3">
      <c r="A457">
        <v>17.350000000000001</v>
      </c>
      <c r="B457">
        <v>-42.16</v>
      </c>
    </row>
    <row r="458" spans="1:2" x14ac:dyDescent="0.3">
      <c r="A458">
        <v>17.399999999999999</v>
      </c>
      <c r="B458">
        <v>-42.16</v>
      </c>
    </row>
    <row r="459" spans="1:2" x14ac:dyDescent="0.3">
      <c r="A459">
        <v>17.399999999999999</v>
      </c>
      <c r="B459">
        <v>-42.6</v>
      </c>
    </row>
    <row r="460" spans="1:2" x14ac:dyDescent="0.3">
      <c r="A460">
        <v>17.45</v>
      </c>
      <c r="B460">
        <v>-42.6</v>
      </c>
    </row>
    <row r="461" spans="1:2" x14ac:dyDescent="0.3">
      <c r="A461">
        <v>17.45</v>
      </c>
      <c r="B461">
        <v>-41.8</v>
      </c>
    </row>
    <row r="462" spans="1:2" x14ac:dyDescent="0.3">
      <c r="A462">
        <v>17.5</v>
      </c>
      <c r="B462">
        <v>-41.8</v>
      </c>
    </row>
    <row r="463" spans="1:2" x14ac:dyDescent="0.3">
      <c r="A463">
        <v>17.5</v>
      </c>
      <c r="B463">
        <v>-42.53</v>
      </c>
    </row>
    <row r="464" spans="1:2" x14ac:dyDescent="0.3">
      <c r="A464">
        <v>17.55</v>
      </c>
      <c r="B464">
        <v>-42.53</v>
      </c>
    </row>
    <row r="465" spans="1:2" x14ac:dyDescent="0.3">
      <c r="A465">
        <v>17.55</v>
      </c>
      <c r="B465">
        <v>-41.83</v>
      </c>
    </row>
    <row r="466" spans="1:2" x14ac:dyDescent="0.3">
      <c r="A466">
        <v>17.600000000000001</v>
      </c>
      <c r="B466">
        <v>-41.83</v>
      </c>
    </row>
    <row r="467" spans="1:2" x14ac:dyDescent="0.3">
      <c r="A467">
        <v>17.600000000000001</v>
      </c>
      <c r="B467">
        <v>-41.35</v>
      </c>
    </row>
    <row r="468" spans="1:2" x14ac:dyDescent="0.3">
      <c r="A468">
        <v>17.649999999999999</v>
      </c>
      <c r="B468">
        <v>-41.35</v>
      </c>
    </row>
    <row r="469" spans="1:2" x14ac:dyDescent="0.3">
      <c r="A469">
        <v>17.649999999999999</v>
      </c>
      <c r="B469">
        <v>-42.07</v>
      </c>
    </row>
    <row r="470" spans="1:2" x14ac:dyDescent="0.3">
      <c r="A470">
        <v>17.7</v>
      </c>
      <c r="B470">
        <v>-42.07</v>
      </c>
    </row>
    <row r="471" spans="1:2" x14ac:dyDescent="0.3">
      <c r="A471">
        <v>17.7</v>
      </c>
      <c r="B471">
        <v>-42.47</v>
      </c>
    </row>
    <row r="472" spans="1:2" x14ac:dyDescent="0.3">
      <c r="A472">
        <v>17.75</v>
      </c>
      <c r="B472">
        <v>-42.47</v>
      </c>
    </row>
    <row r="473" spans="1:2" x14ac:dyDescent="0.3">
      <c r="A473">
        <v>17.75</v>
      </c>
      <c r="B473">
        <v>-42.63</v>
      </c>
    </row>
    <row r="474" spans="1:2" x14ac:dyDescent="0.3">
      <c r="A474">
        <v>17.8</v>
      </c>
      <c r="B474">
        <v>-42.63</v>
      </c>
    </row>
    <row r="475" spans="1:2" x14ac:dyDescent="0.3">
      <c r="A475">
        <v>17.8</v>
      </c>
      <c r="B475">
        <v>-42.35</v>
      </c>
    </row>
    <row r="476" spans="1:2" x14ac:dyDescent="0.3">
      <c r="A476">
        <v>17.850000000000001</v>
      </c>
      <c r="B476">
        <v>-42.35</v>
      </c>
    </row>
    <row r="477" spans="1:2" x14ac:dyDescent="0.3">
      <c r="A477">
        <v>17.850000000000001</v>
      </c>
      <c r="B477">
        <v>-42.25</v>
      </c>
    </row>
    <row r="478" spans="1:2" x14ac:dyDescent="0.3">
      <c r="A478">
        <v>17.899999999999999</v>
      </c>
      <c r="B478">
        <v>-42.25</v>
      </c>
    </row>
    <row r="479" spans="1:2" x14ac:dyDescent="0.3">
      <c r="A479">
        <v>17.899999999999999</v>
      </c>
      <c r="B479">
        <v>-41.69</v>
      </c>
    </row>
    <row r="480" spans="1:2" x14ac:dyDescent="0.3">
      <c r="A480">
        <v>17.95</v>
      </c>
      <c r="B480">
        <v>-41.69</v>
      </c>
    </row>
    <row r="481" spans="1:2" x14ac:dyDescent="0.3">
      <c r="A481">
        <v>17.95</v>
      </c>
      <c r="B481">
        <v>-40.729999999999997</v>
      </c>
    </row>
    <row r="482" spans="1:2" x14ac:dyDescent="0.3">
      <c r="A482">
        <v>18</v>
      </c>
      <c r="B482">
        <v>-40.729999999999997</v>
      </c>
    </row>
    <row r="483" spans="1:2" x14ac:dyDescent="0.3">
      <c r="A483">
        <v>18</v>
      </c>
      <c r="B483">
        <v>-41.66</v>
      </c>
    </row>
    <row r="484" spans="1:2" x14ac:dyDescent="0.3">
      <c r="A484">
        <v>18.05</v>
      </c>
      <c r="B484">
        <v>-41.66</v>
      </c>
    </row>
    <row r="485" spans="1:2" x14ac:dyDescent="0.3">
      <c r="A485">
        <v>18.05</v>
      </c>
      <c r="B485">
        <v>-40.93</v>
      </c>
    </row>
    <row r="486" spans="1:2" x14ac:dyDescent="0.3">
      <c r="A486">
        <v>18.100000000000001</v>
      </c>
      <c r="B486">
        <v>-40.93</v>
      </c>
    </row>
    <row r="487" spans="1:2" x14ac:dyDescent="0.3">
      <c r="A487">
        <v>18.100000000000001</v>
      </c>
      <c r="B487">
        <v>-41.45</v>
      </c>
    </row>
    <row r="488" spans="1:2" x14ac:dyDescent="0.3">
      <c r="A488">
        <v>18.149999999999999</v>
      </c>
      <c r="B488">
        <v>-41.45</v>
      </c>
    </row>
    <row r="489" spans="1:2" x14ac:dyDescent="0.3">
      <c r="A489">
        <v>18.149999999999999</v>
      </c>
      <c r="B489">
        <v>-42.09</v>
      </c>
    </row>
    <row r="490" spans="1:2" x14ac:dyDescent="0.3">
      <c r="A490">
        <v>18.2</v>
      </c>
      <c r="B490">
        <v>-42.09</v>
      </c>
    </row>
    <row r="491" spans="1:2" x14ac:dyDescent="0.3">
      <c r="A491">
        <v>18.2</v>
      </c>
      <c r="B491">
        <v>-41.28</v>
      </c>
    </row>
    <row r="492" spans="1:2" x14ac:dyDescent="0.3">
      <c r="A492">
        <v>18.25</v>
      </c>
      <c r="B492">
        <v>-41.28</v>
      </c>
    </row>
    <row r="493" spans="1:2" x14ac:dyDescent="0.3">
      <c r="A493">
        <v>18.25</v>
      </c>
      <c r="B493">
        <v>-41.04</v>
      </c>
    </row>
    <row r="494" spans="1:2" x14ac:dyDescent="0.3">
      <c r="A494">
        <v>18.3</v>
      </c>
      <c r="B494">
        <v>-41.04</v>
      </c>
    </row>
    <row r="495" spans="1:2" x14ac:dyDescent="0.3">
      <c r="A495">
        <v>18.3</v>
      </c>
      <c r="B495">
        <v>-41.89</v>
      </c>
    </row>
    <row r="496" spans="1:2" x14ac:dyDescent="0.3">
      <c r="A496">
        <v>18.350000000000001</v>
      </c>
      <c r="B496">
        <v>-41.89</v>
      </c>
    </row>
    <row r="497" spans="1:2" x14ac:dyDescent="0.3">
      <c r="A497">
        <v>18.350000000000001</v>
      </c>
      <c r="B497">
        <v>-41.32</v>
      </c>
    </row>
    <row r="498" spans="1:2" x14ac:dyDescent="0.3">
      <c r="A498">
        <v>18.399999999999999</v>
      </c>
      <c r="B498">
        <v>-41.32</v>
      </c>
    </row>
    <row r="499" spans="1:2" x14ac:dyDescent="0.3">
      <c r="A499">
        <v>18.399999999999999</v>
      </c>
      <c r="B499">
        <v>-42.19</v>
      </c>
    </row>
    <row r="500" spans="1:2" x14ac:dyDescent="0.3">
      <c r="A500">
        <v>18.45</v>
      </c>
      <c r="B500">
        <v>-42.19</v>
      </c>
    </row>
    <row r="501" spans="1:2" x14ac:dyDescent="0.3">
      <c r="A501">
        <v>18.45</v>
      </c>
      <c r="B501">
        <v>-41.71</v>
      </c>
    </row>
    <row r="502" spans="1:2" x14ac:dyDescent="0.3">
      <c r="A502">
        <v>18.5</v>
      </c>
      <c r="B502">
        <v>-41.71</v>
      </c>
    </row>
    <row r="503" spans="1:2" x14ac:dyDescent="0.3">
      <c r="A503">
        <v>18.5</v>
      </c>
      <c r="B503">
        <v>-42.34</v>
      </c>
    </row>
    <row r="504" spans="1:2" x14ac:dyDescent="0.3">
      <c r="A504">
        <v>18.55</v>
      </c>
      <c r="B504">
        <v>-42.34</v>
      </c>
    </row>
    <row r="505" spans="1:2" x14ac:dyDescent="0.3">
      <c r="A505">
        <v>18.55</v>
      </c>
      <c r="B505">
        <v>-42.48</v>
      </c>
    </row>
    <row r="506" spans="1:2" x14ac:dyDescent="0.3">
      <c r="A506">
        <v>18.600000000000001</v>
      </c>
      <c r="B506">
        <v>-42.48</v>
      </c>
    </row>
    <row r="507" spans="1:2" x14ac:dyDescent="0.3">
      <c r="A507">
        <v>18.600000000000001</v>
      </c>
      <c r="B507">
        <v>-42.31</v>
      </c>
    </row>
    <row r="508" spans="1:2" x14ac:dyDescent="0.3">
      <c r="A508">
        <v>18.649999999999999</v>
      </c>
      <c r="B508">
        <v>-42.31</v>
      </c>
    </row>
    <row r="509" spans="1:2" x14ac:dyDescent="0.3">
      <c r="A509">
        <v>18.649999999999999</v>
      </c>
      <c r="B509">
        <v>-41.37</v>
      </c>
    </row>
    <row r="510" spans="1:2" x14ac:dyDescent="0.3">
      <c r="A510">
        <v>18.7</v>
      </c>
      <c r="B510">
        <v>-41.37</v>
      </c>
    </row>
    <row r="511" spans="1:2" x14ac:dyDescent="0.3">
      <c r="A511">
        <v>18.7</v>
      </c>
      <c r="B511">
        <v>-42.18</v>
      </c>
    </row>
    <row r="512" spans="1:2" x14ac:dyDescent="0.3">
      <c r="A512">
        <v>18.75</v>
      </c>
      <c r="B512">
        <v>-42.18</v>
      </c>
    </row>
    <row r="513" spans="1:2" x14ac:dyDescent="0.3">
      <c r="A513">
        <v>18.75</v>
      </c>
      <c r="B513">
        <v>-42.82</v>
      </c>
    </row>
    <row r="514" spans="1:2" x14ac:dyDescent="0.3">
      <c r="A514">
        <v>18.8</v>
      </c>
      <c r="B514">
        <v>-42.82</v>
      </c>
    </row>
    <row r="515" spans="1:2" x14ac:dyDescent="0.3">
      <c r="A515">
        <v>18.8</v>
      </c>
      <c r="B515">
        <v>-41.26</v>
      </c>
    </row>
    <row r="516" spans="1:2" x14ac:dyDescent="0.3">
      <c r="A516">
        <v>18.850000000000001</v>
      </c>
      <c r="B516">
        <v>-41.26</v>
      </c>
    </row>
    <row r="517" spans="1:2" x14ac:dyDescent="0.3">
      <c r="A517">
        <v>18.850000000000001</v>
      </c>
      <c r="B517">
        <v>-41.97</v>
      </c>
    </row>
    <row r="518" spans="1:2" x14ac:dyDescent="0.3">
      <c r="A518">
        <v>18.899999999999999</v>
      </c>
      <c r="B518">
        <v>-41.97</v>
      </c>
    </row>
    <row r="519" spans="1:2" x14ac:dyDescent="0.3">
      <c r="A519">
        <v>18.899999999999999</v>
      </c>
      <c r="B519">
        <v>-41.52</v>
      </c>
    </row>
    <row r="520" spans="1:2" x14ac:dyDescent="0.3">
      <c r="A520">
        <v>18.95</v>
      </c>
      <c r="B520">
        <v>-41.52</v>
      </c>
    </row>
    <row r="521" spans="1:2" x14ac:dyDescent="0.3">
      <c r="A521">
        <v>18.95</v>
      </c>
      <c r="B521">
        <v>-41.13</v>
      </c>
    </row>
    <row r="522" spans="1:2" x14ac:dyDescent="0.3">
      <c r="A522">
        <v>19</v>
      </c>
      <c r="B522">
        <v>-41.13</v>
      </c>
    </row>
    <row r="523" spans="1:2" x14ac:dyDescent="0.3">
      <c r="A523">
        <v>19</v>
      </c>
      <c r="B523">
        <v>-41.05</v>
      </c>
    </row>
    <row r="524" spans="1:2" x14ac:dyDescent="0.3">
      <c r="A524">
        <v>19.05</v>
      </c>
      <c r="B524">
        <v>-41.05</v>
      </c>
    </row>
    <row r="525" spans="1:2" x14ac:dyDescent="0.3">
      <c r="A525">
        <v>19.05</v>
      </c>
      <c r="B525">
        <v>-41.36</v>
      </c>
    </row>
    <row r="526" spans="1:2" x14ac:dyDescent="0.3">
      <c r="A526">
        <v>19.100000000000001</v>
      </c>
      <c r="B526">
        <v>-41.36</v>
      </c>
    </row>
    <row r="527" spans="1:2" x14ac:dyDescent="0.3">
      <c r="A527">
        <v>19.100000000000001</v>
      </c>
      <c r="B527">
        <v>-42.82</v>
      </c>
    </row>
    <row r="528" spans="1:2" x14ac:dyDescent="0.3">
      <c r="A528">
        <v>19.149999999999999</v>
      </c>
      <c r="B528">
        <v>-42.82</v>
      </c>
    </row>
    <row r="529" spans="1:2" x14ac:dyDescent="0.3">
      <c r="A529">
        <v>19.149999999999999</v>
      </c>
      <c r="B529">
        <v>-40.880000000000003</v>
      </c>
    </row>
    <row r="530" spans="1:2" x14ac:dyDescent="0.3">
      <c r="A530">
        <v>19.2</v>
      </c>
      <c r="B530">
        <v>-40.880000000000003</v>
      </c>
    </row>
    <row r="531" spans="1:2" x14ac:dyDescent="0.3">
      <c r="A531">
        <v>19.2</v>
      </c>
      <c r="B531">
        <v>-40.98</v>
      </c>
    </row>
    <row r="532" spans="1:2" x14ac:dyDescent="0.3">
      <c r="A532">
        <v>19.25</v>
      </c>
      <c r="B532">
        <v>-40.98</v>
      </c>
    </row>
    <row r="533" spans="1:2" x14ac:dyDescent="0.3">
      <c r="A533">
        <v>19.25</v>
      </c>
      <c r="B533">
        <v>-42.6</v>
      </c>
    </row>
    <row r="534" spans="1:2" x14ac:dyDescent="0.3">
      <c r="A534">
        <v>19.3</v>
      </c>
      <c r="B534">
        <v>-42.6</v>
      </c>
    </row>
    <row r="535" spans="1:2" x14ac:dyDescent="0.3">
      <c r="A535">
        <v>19.3</v>
      </c>
      <c r="B535">
        <v>-41.77</v>
      </c>
    </row>
    <row r="536" spans="1:2" x14ac:dyDescent="0.3">
      <c r="A536">
        <v>19.350000000000001</v>
      </c>
      <c r="B536">
        <v>-41.77</v>
      </c>
    </row>
    <row r="537" spans="1:2" x14ac:dyDescent="0.3">
      <c r="A537">
        <v>19.350000000000001</v>
      </c>
      <c r="B537">
        <v>-42.57</v>
      </c>
    </row>
    <row r="538" spans="1:2" x14ac:dyDescent="0.3">
      <c r="A538">
        <v>19.399999999999999</v>
      </c>
      <c r="B538">
        <v>-42.57</v>
      </c>
    </row>
    <row r="539" spans="1:2" x14ac:dyDescent="0.3">
      <c r="A539">
        <v>19.399999999999999</v>
      </c>
      <c r="B539">
        <v>-42.18</v>
      </c>
    </row>
    <row r="540" spans="1:2" x14ac:dyDescent="0.3">
      <c r="A540">
        <v>19.45</v>
      </c>
      <c r="B540">
        <v>-42.18</v>
      </c>
    </row>
    <row r="541" spans="1:2" x14ac:dyDescent="0.3">
      <c r="A541">
        <v>19.45</v>
      </c>
      <c r="B541">
        <v>-42.22</v>
      </c>
    </row>
    <row r="542" spans="1:2" x14ac:dyDescent="0.3">
      <c r="A542">
        <v>19.5</v>
      </c>
      <c r="B542">
        <v>-42.22</v>
      </c>
    </row>
    <row r="543" spans="1:2" x14ac:dyDescent="0.3">
      <c r="A543">
        <v>19.5</v>
      </c>
      <c r="B543">
        <v>-41.73</v>
      </c>
    </row>
    <row r="544" spans="1:2" x14ac:dyDescent="0.3">
      <c r="A544">
        <v>19.55</v>
      </c>
      <c r="B544">
        <v>-41.73</v>
      </c>
    </row>
    <row r="545" spans="1:2" x14ac:dyDescent="0.3">
      <c r="A545">
        <v>19.55</v>
      </c>
      <c r="B545">
        <v>-42.29</v>
      </c>
    </row>
    <row r="546" spans="1:2" x14ac:dyDescent="0.3">
      <c r="A546">
        <v>19.600000000000001</v>
      </c>
      <c r="B546">
        <v>-42.29</v>
      </c>
    </row>
    <row r="547" spans="1:2" x14ac:dyDescent="0.3">
      <c r="A547">
        <v>19.600000000000001</v>
      </c>
      <c r="B547">
        <v>-42.01</v>
      </c>
    </row>
    <row r="548" spans="1:2" x14ac:dyDescent="0.3">
      <c r="A548">
        <v>19.649999999999999</v>
      </c>
      <c r="B548">
        <v>-42.01</v>
      </c>
    </row>
    <row r="549" spans="1:2" x14ac:dyDescent="0.3">
      <c r="A549">
        <v>19.649999999999999</v>
      </c>
      <c r="B549">
        <v>-42.9</v>
      </c>
    </row>
    <row r="550" spans="1:2" x14ac:dyDescent="0.3">
      <c r="A550">
        <v>19.7</v>
      </c>
      <c r="B550">
        <v>-42.9</v>
      </c>
    </row>
    <row r="551" spans="1:2" x14ac:dyDescent="0.3">
      <c r="A551">
        <v>19.7</v>
      </c>
      <c r="B551">
        <v>-43.2</v>
      </c>
    </row>
    <row r="552" spans="1:2" x14ac:dyDescent="0.3">
      <c r="A552">
        <v>19.75</v>
      </c>
      <c r="B552">
        <v>-43.2</v>
      </c>
    </row>
    <row r="553" spans="1:2" x14ac:dyDescent="0.3">
      <c r="A553">
        <v>19.75</v>
      </c>
      <c r="B553">
        <v>-43.34</v>
      </c>
    </row>
    <row r="554" spans="1:2" x14ac:dyDescent="0.3">
      <c r="A554">
        <v>19.8</v>
      </c>
      <c r="B554">
        <v>-43.34</v>
      </c>
    </row>
    <row r="555" spans="1:2" x14ac:dyDescent="0.3">
      <c r="A555">
        <v>19.8</v>
      </c>
      <c r="B555">
        <v>-42.38</v>
      </c>
    </row>
    <row r="556" spans="1:2" x14ac:dyDescent="0.3">
      <c r="A556">
        <v>19.850000000000001</v>
      </c>
      <c r="B556">
        <v>-42.38</v>
      </c>
    </row>
    <row r="557" spans="1:2" x14ac:dyDescent="0.3">
      <c r="A557">
        <v>19.850000000000001</v>
      </c>
      <c r="B557">
        <v>-42.76</v>
      </c>
    </row>
    <row r="558" spans="1:2" x14ac:dyDescent="0.3">
      <c r="A558">
        <v>19.899999999999999</v>
      </c>
      <c r="B558">
        <v>-42.76</v>
      </c>
    </row>
    <row r="559" spans="1:2" x14ac:dyDescent="0.3">
      <c r="A559">
        <v>19.899999999999999</v>
      </c>
      <c r="B559">
        <v>-43.87</v>
      </c>
    </row>
    <row r="560" spans="1:2" x14ac:dyDescent="0.3">
      <c r="A560">
        <v>19.95</v>
      </c>
      <c r="B560">
        <v>-43.87</v>
      </c>
    </row>
    <row r="561" spans="1:2" x14ac:dyDescent="0.3">
      <c r="A561">
        <v>19.95</v>
      </c>
      <c r="B561">
        <v>-42.03</v>
      </c>
    </row>
    <row r="562" spans="1:2" x14ac:dyDescent="0.3">
      <c r="A562">
        <v>20</v>
      </c>
      <c r="B562">
        <v>-42.03</v>
      </c>
    </row>
    <row r="563" spans="1:2" x14ac:dyDescent="0.3">
      <c r="A563">
        <v>20</v>
      </c>
      <c r="B563">
        <v>-41.01</v>
      </c>
    </row>
    <row r="564" spans="1:2" x14ac:dyDescent="0.3">
      <c r="A564">
        <v>20.05</v>
      </c>
      <c r="B564">
        <v>-41.01</v>
      </c>
    </row>
    <row r="565" spans="1:2" x14ac:dyDescent="0.3">
      <c r="A565">
        <v>20.05</v>
      </c>
      <c r="B565">
        <v>-41.79</v>
      </c>
    </row>
    <row r="566" spans="1:2" x14ac:dyDescent="0.3">
      <c r="A566">
        <v>20.100000000000001</v>
      </c>
      <c r="B566">
        <v>-41.79</v>
      </c>
    </row>
    <row r="567" spans="1:2" x14ac:dyDescent="0.3">
      <c r="A567">
        <v>20.100000000000001</v>
      </c>
      <c r="B567">
        <v>-42.28</v>
      </c>
    </row>
    <row r="568" spans="1:2" x14ac:dyDescent="0.3">
      <c r="A568">
        <v>20.149999999999999</v>
      </c>
      <c r="B568">
        <v>-42.28</v>
      </c>
    </row>
    <row r="569" spans="1:2" x14ac:dyDescent="0.3">
      <c r="A569">
        <v>20.149999999999999</v>
      </c>
      <c r="B569">
        <v>-42.11</v>
      </c>
    </row>
    <row r="570" spans="1:2" x14ac:dyDescent="0.3">
      <c r="A570">
        <v>20.2</v>
      </c>
      <c r="B570">
        <v>-42.11</v>
      </c>
    </row>
    <row r="571" spans="1:2" x14ac:dyDescent="0.3">
      <c r="A571">
        <v>20.2</v>
      </c>
      <c r="B571">
        <v>-42.7</v>
      </c>
    </row>
    <row r="572" spans="1:2" x14ac:dyDescent="0.3">
      <c r="A572">
        <v>20.25</v>
      </c>
      <c r="B572">
        <v>-42.7</v>
      </c>
    </row>
    <row r="573" spans="1:2" x14ac:dyDescent="0.3">
      <c r="A573">
        <v>20.25</v>
      </c>
      <c r="B573">
        <v>-42.49</v>
      </c>
    </row>
    <row r="574" spans="1:2" x14ac:dyDescent="0.3">
      <c r="A574">
        <v>20.3</v>
      </c>
      <c r="B574">
        <v>-42.49</v>
      </c>
    </row>
    <row r="575" spans="1:2" x14ac:dyDescent="0.3">
      <c r="A575">
        <v>20.3</v>
      </c>
      <c r="B575">
        <v>-42.75</v>
      </c>
    </row>
    <row r="576" spans="1:2" x14ac:dyDescent="0.3">
      <c r="A576">
        <v>20.350000000000001</v>
      </c>
      <c r="B576">
        <v>-42.75</v>
      </c>
    </row>
    <row r="577" spans="1:2" x14ac:dyDescent="0.3">
      <c r="A577">
        <v>20.350000000000001</v>
      </c>
      <c r="B577">
        <v>-44.28</v>
      </c>
    </row>
    <row r="578" spans="1:2" x14ac:dyDescent="0.3">
      <c r="A578">
        <v>20.399999999999999</v>
      </c>
      <c r="B578">
        <v>-44.28</v>
      </c>
    </row>
    <row r="579" spans="1:2" x14ac:dyDescent="0.3">
      <c r="A579">
        <v>20.399999999999999</v>
      </c>
      <c r="B579">
        <v>-42.61</v>
      </c>
    </row>
    <row r="580" spans="1:2" x14ac:dyDescent="0.3">
      <c r="A580">
        <v>20.45</v>
      </c>
      <c r="B580">
        <v>-42.61</v>
      </c>
    </row>
    <row r="581" spans="1:2" x14ac:dyDescent="0.3">
      <c r="A581">
        <v>20.45</v>
      </c>
      <c r="B581">
        <v>-43.15</v>
      </c>
    </row>
    <row r="582" spans="1:2" x14ac:dyDescent="0.3">
      <c r="A582">
        <v>20.5</v>
      </c>
      <c r="B582">
        <v>-43.15</v>
      </c>
    </row>
    <row r="583" spans="1:2" x14ac:dyDescent="0.3">
      <c r="A583">
        <v>20.5</v>
      </c>
      <c r="B583">
        <v>-42.06</v>
      </c>
    </row>
    <row r="584" spans="1:2" x14ac:dyDescent="0.3">
      <c r="A584">
        <v>20.55</v>
      </c>
      <c r="B584">
        <v>-42.06</v>
      </c>
    </row>
    <row r="585" spans="1:2" x14ac:dyDescent="0.3">
      <c r="A585">
        <v>20.55</v>
      </c>
      <c r="B585">
        <v>-42.96</v>
      </c>
    </row>
    <row r="586" spans="1:2" x14ac:dyDescent="0.3">
      <c r="A586">
        <v>20.6</v>
      </c>
      <c r="B586">
        <v>-42.96</v>
      </c>
    </row>
    <row r="587" spans="1:2" x14ac:dyDescent="0.3">
      <c r="A587">
        <v>20.6</v>
      </c>
      <c r="B587">
        <v>-43.29</v>
      </c>
    </row>
    <row r="588" spans="1:2" x14ac:dyDescent="0.3">
      <c r="A588">
        <v>20.65</v>
      </c>
      <c r="B588">
        <v>-43.29</v>
      </c>
    </row>
    <row r="589" spans="1:2" x14ac:dyDescent="0.3">
      <c r="A589">
        <v>20.65</v>
      </c>
      <c r="B589">
        <v>-42.14</v>
      </c>
    </row>
    <row r="590" spans="1:2" x14ac:dyDescent="0.3">
      <c r="A590">
        <v>20.7</v>
      </c>
      <c r="B590">
        <v>-42.14</v>
      </c>
    </row>
    <row r="591" spans="1:2" x14ac:dyDescent="0.3">
      <c r="A591">
        <v>20.7</v>
      </c>
      <c r="B591">
        <v>-42.41</v>
      </c>
    </row>
    <row r="592" spans="1:2" x14ac:dyDescent="0.3">
      <c r="A592">
        <v>20.75</v>
      </c>
      <c r="B592">
        <v>-42.41</v>
      </c>
    </row>
    <row r="593" spans="1:2" x14ac:dyDescent="0.3">
      <c r="A593">
        <v>20.75</v>
      </c>
      <c r="B593">
        <v>-42.77</v>
      </c>
    </row>
    <row r="594" spans="1:2" x14ac:dyDescent="0.3">
      <c r="A594">
        <v>20.8</v>
      </c>
      <c r="B594">
        <v>-42.77</v>
      </c>
    </row>
    <row r="595" spans="1:2" x14ac:dyDescent="0.3">
      <c r="A595">
        <v>20.8</v>
      </c>
      <c r="B595">
        <v>-42.07</v>
      </c>
    </row>
    <row r="596" spans="1:2" x14ac:dyDescent="0.3">
      <c r="A596">
        <v>20.85</v>
      </c>
      <c r="B596">
        <v>-42.07</v>
      </c>
    </row>
    <row r="597" spans="1:2" x14ac:dyDescent="0.3">
      <c r="A597">
        <v>20.85</v>
      </c>
      <c r="B597">
        <v>-43.05</v>
      </c>
    </row>
    <row r="598" spans="1:2" x14ac:dyDescent="0.3">
      <c r="A598">
        <v>20.9</v>
      </c>
      <c r="B598">
        <v>-43.05</v>
      </c>
    </row>
    <row r="599" spans="1:2" x14ac:dyDescent="0.3">
      <c r="A599">
        <v>20.9</v>
      </c>
      <c r="B599">
        <v>-42.14</v>
      </c>
    </row>
    <row r="600" spans="1:2" x14ac:dyDescent="0.3">
      <c r="A600">
        <v>20.95</v>
      </c>
      <c r="B600">
        <v>-42.14</v>
      </c>
    </row>
    <row r="601" spans="1:2" x14ac:dyDescent="0.3">
      <c r="A601">
        <v>20.95</v>
      </c>
      <c r="B601">
        <v>-41.71</v>
      </c>
    </row>
    <row r="602" spans="1:2" x14ac:dyDescent="0.3">
      <c r="A602">
        <v>21</v>
      </c>
      <c r="B602">
        <v>-41.71</v>
      </c>
    </row>
    <row r="603" spans="1:2" x14ac:dyDescent="0.3">
      <c r="A603">
        <v>21</v>
      </c>
      <c r="B603">
        <v>-42.65</v>
      </c>
    </row>
    <row r="604" spans="1:2" x14ac:dyDescent="0.3">
      <c r="A604">
        <v>21.05</v>
      </c>
      <c r="B604">
        <v>-42.65</v>
      </c>
    </row>
    <row r="605" spans="1:2" x14ac:dyDescent="0.3">
      <c r="A605">
        <v>21.05</v>
      </c>
      <c r="B605">
        <v>-42.95</v>
      </c>
    </row>
    <row r="606" spans="1:2" x14ac:dyDescent="0.3">
      <c r="A606">
        <v>21.1</v>
      </c>
      <c r="B606">
        <v>-42.95</v>
      </c>
    </row>
    <row r="607" spans="1:2" x14ac:dyDescent="0.3">
      <c r="A607">
        <v>21.1</v>
      </c>
      <c r="B607">
        <v>-43.75</v>
      </c>
    </row>
    <row r="608" spans="1:2" x14ac:dyDescent="0.3">
      <c r="A608">
        <v>21.15</v>
      </c>
      <c r="B608">
        <v>-43.75</v>
      </c>
    </row>
    <row r="609" spans="1:2" x14ac:dyDescent="0.3">
      <c r="A609">
        <v>21.15</v>
      </c>
      <c r="B609">
        <v>-42.91</v>
      </c>
    </row>
    <row r="610" spans="1:2" x14ac:dyDescent="0.3">
      <c r="A610">
        <v>21.2</v>
      </c>
      <c r="B610">
        <v>-42.91</v>
      </c>
    </row>
    <row r="611" spans="1:2" x14ac:dyDescent="0.3">
      <c r="A611">
        <v>21.2</v>
      </c>
      <c r="B611">
        <v>-43.28</v>
      </c>
    </row>
    <row r="612" spans="1:2" x14ac:dyDescent="0.3">
      <c r="A612">
        <v>21.25</v>
      </c>
      <c r="B612">
        <v>-43.28</v>
      </c>
    </row>
    <row r="613" spans="1:2" x14ac:dyDescent="0.3">
      <c r="A613">
        <v>21.25</v>
      </c>
      <c r="B613">
        <v>-42.36</v>
      </c>
    </row>
    <row r="614" spans="1:2" x14ac:dyDescent="0.3">
      <c r="A614">
        <v>21.3</v>
      </c>
      <c r="B614">
        <v>-42.36</v>
      </c>
    </row>
    <row r="615" spans="1:2" x14ac:dyDescent="0.3">
      <c r="A615">
        <v>21.3</v>
      </c>
      <c r="B615">
        <v>-41.85</v>
      </c>
    </row>
    <row r="616" spans="1:2" x14ac:dyDescent="0.3">
      <c r="A616">
        <v>21.35</v>
      </c>
      <c r="B616">
        <v>-41.85</v>
      </c>
    </row>
    <row r="617" spans="1:2" x14ac:dyDescent="0.3">
      <c r="A617">
        <v>21.35</v>
      </c>
      <c r="B617">
        <v>-42.83</v>
      </c>
    </row>
    <row r="618" spans="1:2" x14ac:dyDescent="0.3">
      <c r="A618">
        <v>21.4</v>
      </c>
      <c r="B618">
        <v>-42.83</v>
      </c>
    </row>
    <row r="619" spans="1:2" x14ac:dyDescent="0.3">
      <c r="A619">
        <v>21.4</v>
      </c>
      <c r="B619">
        <v>-41.87</v>
      </c>
    </row>
    <row r="620" spans="1:2" x14ac:dyDescent="0.3">
      <c r="A620">
        <v>21.45</v>
      </c>
      <c r="B620">
        <v>-41.87</v>
      </c>
    </row>
    <row r="621" spans="1:2" x14ac:dyDescent="0.3">
      <c r="A621">
        <v>21.45</v>
      </c>
      <c r="B621">
        <v>-42.03</v>
      </c>
    </row>
    <row r="622" spans="1:2" x14ac:dyDescent="0.3">
      <c r="A622">
        <v>21.5</v>
      </c>
      <c r="B622">
        <v>-42.03</v>
      </c>
    </row>
    <row r="623" spans="1:2" x14ac:dyDescent="0.3">
      <c r="A623">
        <v>21.5</v>
      </c>
      <c r="B623">
        <v>-41.59</v>
      </c>
    </row>
    <row r="624" spans="1:2" x14ac:dyDescent="0.3">
      <c r="A624">
        <v>21.55</v>
      </c>
      <c r="B624">
        <v>-41.59</v>
      </c>
    </row>
    <row r="625" spans="1:2" x14ac:dyDescent="0.3">
      <c r="A625">
        <v>21.55</v>
      </c>
      <c r="B625">
        <v>-41.56</v>
      </c>
    </row>
    <row r="626" spans="1:2" x14ac:dyDescent="0.3">
      <c r="A626">
        <v>21.6</v>
      </c>
      <c r="B626">
        <v>-41.56</v>
      </c>
    </row>
    <row r="627" spans="1:2" x14ac:dyDescent="0.3">
      <c r="A627">
        <v>21.6</v>
      </c>
      <c r="B627">
        <v>-42.14</v>
      </c>
    </row>
    <row r="628" spans="1:2" x14ac:dyDescent="0.3">
      <c r="A628">
        <v>21.65</v>
      </c>
      <c r="B628">
        <v>-42.14</v>
      </c>
    </row>
    <row r="629" spans="1:2" x14ac:dyDescent="0.3">
      <c r="A629">
        <v>21.65</v>
      </c>
      <c r="B629">
        <v>-42.34</v>
      </c>
    </row>
    <row r="630" spans="1:2" x14ac:dyDescent="0.3">
      <c r="A630">
        <v>21.7</v>
      </c>
      <c r="B630">
        <v>-42.34</v>
      </c>
    </row>
    <row r="631" spans="1:2" x14ac:dyDescent="0.3">
      <c r="A631">
        <v>21.7</v>
      </c>
      <c r="B631">
        <v>-42.9</v>
      </c>
    </row>
    <row r="632" spans="1:2" x14ac:dyDescent="0.3">
      <c r="A632">
        <v>21.75</v>
      </c>
      <c r="B632">
        <v>-42.9</v>
      </c>
    </row>
    <row r="633" spans="1:2" x14ac:dyDescent="0.3">
      <c r="A633">
        <v>21.75</v>
      </c>
      <c r="B633">
        <v>-42.4</v>
      </c>
    </row>
    <row r="634" spans="1:2" x14ac:dyDescent="0.3">
      <c r="A634">
        <v>21.8</v>
      </c>
      <c r="B634">
        <v>-42.4</v>
      </c>
    </row>
    <row r="635" spans="1:2" x14ac:dyDescent="0.3">
      <c r="A635">
        <v>21.8</v>
      </c>
      <c r="B635">
        <v>-42.31</v>
      </c>
    </row>
    <row r="636" spans="1:2" x14ac:dyDescent="0.3">
      <c r="A636">
        <v>21.85</v>
      </c>
      <c r="B636">
        <v>-42.31</v>
      </c>
    </row>
    <row r="637" spans="1:2" x14ac:dyDescent="0.3">
      <c r="A637">
        <v>21.85</v>
      </c>
      <c r="B637">
        <v>-43.01</v>
      </c>
    </row>
    <row r="638" spans="1:2" x14ac:dyDescent="0.3">
      <c r="A638">
        <v>21.9</v>
      </c>
      <c r="B638">
        <v>-43.01</v>
      </c>
    </row>
    <row r="639" spans="1:2" x14ac:dyDescent="0.3">
      <c r="A639">
        <v>21.9</v>
      </c>
      <c r="B639">
        <v>-42.24</v>
      </c>
    </row>
    <row r="640" spans="1:2" x14ac:dyDescent="0.3">
      <c r="A640">
        <v>21.95</v>
      </c>
      <c r="B640">
        <v>-42.24</v>
      </c>
    </row>
    <row r="641" spans="1:2" x14ac:dyDescent="0.3">
      <c r="A641">
        <v>21.95</v>
      </c>
      <c r="B641">
        <v>-42.38</v>
      </c>
    </row>
    <row r="642" spans="1:2" x14ac:dyDescent="0.3">
      <c r="A642">
        <v>22</v>
      </c>
      <c r="B642">
        <v>-42.38</v>
      </c>
    </row>
    <row r="643" spans="1:2" x14ac:dyDescent="0.3">
      <c r="A643">
        <v>22</v>
      </c>
      <c r="B643">
        <v>-43.48</v>
      </c>
    </row>
    <row r="644" spans="1:2" x14ac:dyDescent="0.3">
      <c r="A644">
        <v>22.05</v>
      </c>
      <c r="B644">
        <v>-43.48</v>
      </c>
    </row>
    <row r="645" spans="1:2" x14ac:dyDescent="0.3">
      <c r="A645">
        <v>22.05</v>
      </c>
      <c r="B645">
        <v>-41.22</v>
      </c>
    </row>
    <row r="646" spans="1:2" x14ac:dyDescent="0.3">
      <c r="A646">
        <v>22.1</v>
      </c>
      <c r="B646">
        <v>-41.22</v>
      </c>
    </row>
    <row r="647" spans="1:2" x14ac:dyDescent="0.3">
      <c r="A647">
        <v>22.1</v>
      </c>
      <c r="B647">
        <v>-41.2</v>
      </c>
    </row>
    <row r="648" spans="1:2" x14ac:dyDescent="0.3">
      <c r="A648">
        <v>22.15</v>
      </c>
      <c r="B648">
        <v>-41.2</v>
      </c>
    </row>
    <row r="649" spans="1:2" x14ac:dyDescent="0.3">
      <c r="A649">
        <v>22.15</v>
      </c>
      <c r="B649">
        <v>-42.49</v>
      </c>
    </row>
    <row r="650" spans="1:2" x14ac:dyDescent="0.3">
      <c r="A650">
        <v>22.2</v>
      </c>
      <c r="B650">
        <v>-42.49</v>
      </c>
    </row>
    <row r="651" spans="1:2" x14ac:dyDescent="0.3">
      <c r="A651">
        <v>22.2</v>
      </c>
      <c r="B651">
        <v>-41.87</v>
      </c>
    </row>
    <row r="652" spans="1:2" x14ac:dyDescent="0.3">
      <c r="A652">
        <v>22.25</v>
      </c>
      <c r="B652">
        <v>-41.87</v>
      </c>
    </row>
    <row r="653" spans="1:2" x14ac:dyDescent="0.3">
      <c r="A653">
        <v>22.25</v>
      </c>
      <c r="B653">
        <v>-41.18</v>
      </c>
    </row>
    <row r="654" spans="1:2" x14ac:dyDescent="0.3">
      <c r="A654">
        <v>22.3</v>
      </c>
      <c r="B654">
        <v>-41.18</v>
      </c>
    </row>
    <row r="655" spans="1:2" x14ac:dyDescent="0.3">
      <c r="A655">
        <v>22.3</v>
      </c>
      <c r="B655">
        <v>-42.27</v>
      </c>
    </row>
    <row r="656" spans="1:2" x14ac:dyDescent="0.3">
      <c r="A656">
        <v>22.35</v>
      </c>
      <c r="B656">
        <v>-42.27</v>
      </c>
    </row>
    <row r="657" spans="1:2" x14ac:dyDescent="0.3">
      <c r="A657">
        <v>22.35</v>
      </c>
      <c r="B657">
        <v>-42.11</v>
      </c>
    </row>
    <row r="658" spans="1:2" x14ac:dyDescent="0.3">
      <c r="A658">
        <v>22.4</v>
      </c>
      <c r="B658">
        <v>-42.11</v>
      </c>
    </row>
    <row r="659" spans="1:2" x14ac:dyDescent="0.3">
      <c r="A659">
        <v>22.4</v>
      </c>
      <c r="B659">
        <v>-42.76</v>
      </c>
    </row>
    <row r="660" spans="1:2" x14ac:dyDescent="0.3">
      <c r="A660">
        <v>22.45</v>
      </c>
      <c r="B660">
        <v>-42.76</v>
      </c>
    </row>
    <row r="661" spans="1:2" x14ac:dyDescent="0.3">
      <c r="A661">
        <v>22.45</v>
      </c>
      <c r="B661">
        <v>-42.47</v>
      </c>
    </row>
    <row r="662" spans="1:2" x14ac:dyDescent="0.3">
      <c r="A662">
        <v>22.5</v>
      </c>
      <c r="B662">
        <v>-42.47</v>
      </c>
    </row>
    <row r="663" spans="1:2" x14ac:dyDescent="0.3">
      <c r="A663">
        <v>22.5</v>
      </c>
      <c r="B663">
        <v>-41.76</v>
      </c>
    </row>
    <row r="664" spans="1:2" x14ac:dyDescent="0.3">
      <c r="A664">
        <v>22.55</v>
      </c>
      <c r="B664">
        <v>-41.76</v>
      </c>
    </row>
    <row r="665" spans="1:2" x14ac:dyDescent="0.3">
      <c r="A665">
        <v>22.55</v>
      </c>
      <c r="B665">
        <v>-41.07</v>
      </c>
    </row>
    <row r="666" spans="1:2" x14ac:dyDescent="0.3">
      <c r="A666">
        <v>22.6</v>
      </c>
      <c r="B666">
        <v>-41.07</v>
      </c>
    </row>
    <row r="667" spans="1:2" x14ac:dyDescent="0.3">
      <c r="A667">
        <v>22.6</v>
      </c>
      <c r="B667">
        <v>-39.76</v>
      </c>
    </row>
    <row r="668" spans="1:2" x14ac:dyDescent="0.3">
      <c r="A668">
        <v>22.65</v>
      </c>
      <c r="B668">
        <v>-39.76</v>
      </c>
    </row>
    <row r="669" spans="1:2" x14ac:dyDescent="0.3">
      <c r="A669">
        <v>22.65</v>
      </c>
      <c r="B669">
        <v>-41.92</v>
      </c>
    </row>
    <row r="670" spans="1:2" x14ac:dyDescent="0.3">
      <c r="A670">
        <v>22.7</v>
      </c>
      <c r="B670">
        <v>-41.92</v>
      </c>
    </row>
    <row r="671" spans="1:2" x14ac:dyDescent="0.3">
      <c r="A671">
        <v>22.7</v>
      </c>
      <c r="B671">
        <v>-43.46</v>
      </c>
    </row>
    <row r="672" spans="1:2" x14ac:dyDescent="0.3">
      <c r="A672">
        <v>22.75</v>
      </c>
      <c r="B672">
        <v>-43.46</v>
      </c>
    </row>
    <row r="673" spans="1:2" x14ac:dyDescent="0.3">
      <c r="A673">
        <v>22.75</v>
      </c>
      <c r="B673">
        <v>-42</v>
      </c>
    </row>
    <row r="674" spans="1:2" x14ac:dyDescent="0.3">
      <c r="A674">
        <v>22.8</v>
      </c>
      <c r="B674">
        <v>-42</v>
      </c>
    </row>
    <row r="675" spans="1:2" x14ac:dyDescent="0.3">
      <c r="A675">
        <v>22.8</v>
      </c>
      <c r="B675">
        <v>-43.68</v>
      </c>
    </row>
    <row r="676" spans="1:2" x14ac:dyDescent="0.3">
      <c r="A676">
        <v>22.85</v>
      </c>
      <c r="B676">
        <v>-43.68</v>
      </c>
    </row>
    <row r="677" spans="1:2" x14ac:dyDescent="0.3">
      <c r="A677">
        <v>22.85</v>
      </c>
      <c r="B677">
        <v>-43.61</v>
      </c>
    </row>
    <row r="678" spans="1:2" x14ac:dyDescent="0.3">
      <c r="A678">
        <v>22.9</v>
      </c>
      <c r="B678">
        <v>-43.61</v>
      </c>
    </row>
    <row r="679" spans="1:2" x14ac:dyDescent="0.3">
      <c r="A679">
        <v>22.9</v>
      </c>
      <c r="B679">
        <v>-43.77</v>
      </c>
    </row>
    <row r="680" spans="1:2" x14ac:dyDescent="0.3">
      <c r="A680">
        <v>22.95</v>
      </c>
      <c r="B680">
        <v>-43.77</v>
      </c>
    </row>
    <row r="681" spans="1:2" x14ac:dyDescent="0.3">
      <c r="A681">
        <v>22.95</v>
      </c>
      <c r="B681">
        <v>-43.67</v>
      </c>
    </row>
    <row r="682" spans="1:2" x14ac:dyDescent="0.3">
      <c r="A682">
        <v>23</v>
      </c>
      <c r="B682">
        <v>-43.67</v>
      </c>
    </row>
    <row r="683" spans="1:2" x14ac:dyDescent="0.3">
      <c r="A683">
        <v>23</v>
      </c>
      <c r="B683">
        <v>-44.07</v>
      </c>
    </row>
    <row r="684" spans="1:2" x14ac:dyDescent="0.3">
      <c r="A684">
        <v>23.05</v>
      </c>
      <c r="B684">
        <v>-44.07</v>
      </c>
    </row>
    <row r="685" spans="1:2" x14ac:dyDescent="0.3">
      <c r="A685">
        <v>23.05</v>
      </c>
      <c r="B685">
        <v>-43.12</v>
      </c>
    </row>
    <row r="686" spans="1:2" x14ac:dyDescent="0.3">
      <c r="A686">
        <v>23.1</v>
      </c>
      <c r="B686">
        <v>-43.12</v>
      </c>
    </row>
    <row r="687" spans="1:2" x14ac:dyDescent="0.3">
      <c r="A687">
        <v>23.1</v>
      </c>
      <c r="B687">
        <v>-43.72</v>
      </c>
    </row>
    <row r="688" spans="1:2" x14ac:dyDescent="0.3">
      <c r="A688">
        <v>23.15</v>
      </c>
      <c r="B688">
        <v>-43.72</v>
      </c>
    </row>
    <row r="689" spans="1:2" x14ac:dyDescent="0.3">
      <c r="A689">
        <v>23.15</v>
      </c>
      <c r="B689">
        <v>-44.19</v>
      </c>
    </row>
    <row r="690" spans="1:2" x14ac:dyDescent="0.3">
      <c r="A690">
        <v>23.2</v>
      </c>
      <c r="B690">
        <v>-44.19</v>
      </c>
    </row>
    <row r="691" spans="1:2" x14ac:dyDescent="0.3">
      <c r="A691">
        <v>23.2</v>
      </c>
      <c r="B691">
        <v>-43.53</v>
      </c>
    </row>
    <row r="692" spans="1:2" x14ac:dyDescent="0.3">
      <c r="A692">
        <v>23.25</v>
      </c>
      <c r="B692">
        <v>-43.53</v>
      </c>
    </row>
    <row r="693" spans="1:2" x14ac:dyDescent="0.3">
      <c r="A693">
        <v>23.25</v>
      </c>
      <c r="B693">
        <v>-43.57</v>
      </c>
    </row>
    <row r="694" spans="1:2" x14ac:dyDescent="0.3">
      <c r="A694">
        <v>23.3</v>
      </c>
      <c r="B694">
        <v>-43.57</v>
      </c>
    </row>
    <row r="695" spans="1:2" x14ac:dyDescent="0.3">
      <c r="A695">
        <v>23.3</v>
      </c>
      <c r="B695">
        <v>-42.65</v>
      </c>
    </row>
    <row r="696" spans="1:2" x14ac:dyDescent="0.3">
      <c r="A696">
        <v>23.35</v>
      </c>
      <c r="B696">
        <v>-42.65</v>
      </c>
    </row>
    <row r="697" spans="1:2" x14ac:dyDescent="0.3">
      <c r="A697">
        <v>23.35</v>
      </c>
      <c r="B697">
        <v>-43.14</v>
      </c>
    </row>
    <row r="698" spans="1:2" x14ac:dyDescent="0.3">
      <c r="A698">
        <v>23.4</v>
      </c>
      <c r="B698">
        <v>-43.14</v>
      </c>
    </row>
    <row r="699" spans="1:2" x14ac:dyDescent="0.3">
      <c r="A699">
        <v>23.4</v>
      </c>
      <c r="B699">
        <v>-43.74</v>
      </c>
    </row>
    <row r="700" spans="1:2" x14ac:dyDescent="0.3">
      <c r="A700">
        <v>23.45</v>
      </c>
      <c r="B700">
        <v>-43.74</v>
      </c>
    </row>
    <row r="701" spans="1:2" x14ac:dyDescent="0.3">
      <c r="A701">
        <v>23.45</v>
      </c>
      <c r="B701">
        <v>-43.55</v>
      </c>
    </row>
    <row r="702" spans="1:2" x14ac:dyDescent="0.3">
      <c r="A702">
        <v>23.5</v>
      </c>
      <c r="B702">
        <v>-43.55</v>
      </c>
    </row>
    <row r="703" spans="1:2" x14ac:dyDescent="0.3">
      <c r="A703">
        <v>23.5</v>
      </c>
      <c r="B703">
        <v>-43.82</v>
      </c>
    </row>
    <row r="704" spans="1:2" x14ac:dyDescent="0.3">
      <c r="A704">
        <v>23.55</v>
      </c>
      <c r="B704">
        <v>-43.82</v>
      </c>
    </row>
    <row r="705" spans="1:2" x14ac:dyDescent="0.3">
      <c r="A705">
        <v>23.55</v>
      </c>
      <c r="B705">
        <v>-44.32</v>
      </c>
    </row>
    <row r="706" spans="1:2" x14ac:dyDescent="0.3">
      <c r="A706">
        <v>23.6</v>
      </c>
      <c r="B706">
        <v>-44.32</v>
      </c>
    </row>
    <row r="707" spans="1:2" x14ac:dyDescent="0.3">
      <c r="A707">
        <v>23.6</v>
      </c>
      <c r="B707">
        <v>-43.8</v>
      </c>
    </row>
    <row r="708" spans="1:2" x14ac:dyDescent="0.3">
      <c r="A708">
        <v>23.65</v>
      </c>
      <c r="B708">
        <v>-43.8</v>
      </c>
    </row>
    <row r="709" spans="1:2" x14ac:dyDescent="0.3">
      <c r="A709">
        <v>23.65</v>
      </c>
      <c r="B709">
        <v>-42.62</v>
      </c>
    </row>
    <row r="710" spans="1:2" x14ac:dyDescent="0.3">
      <c r="A710">
        <v>23.7</v>
      </c>
      <c r="B710">
        <v>-42.62</v>
      </c>
    </row>
    <row r="711" spans="1:2" x14ac:dyDescent="0.3">
      <c r="A711">
        <v>23.7</v>
      </c>
      <c r="B711">
        <v>-43.54</v>
      </c>
    </row>
    <row r="712" spans="1:2" x14ac:dyDescent="0.3">
      <c r="A712">
        <v>23.75</v>
      </c>
      <c r="B712">
        <v>-43.54</v>
      </c>
    </row>
    <row r="713" spans="1:2" x14ac:dyDescent="0.3">
      <c r="A713">
        <v>23.75</v>
      </c>
      <c r="B713">
        <v>-43.41</v>
      </c>
    </row>
    <row r="714" spans="1:2" x14ac:dyDescent="0.3">
      <c r="A714">
        <v>23.8</v>
      </c>
      <c r="B714">
        <v>-43.41</v>
      </c>
    </row>
    <row r="715" spans="1:2" x14ac:dyDescent="0.3">
      <c r="A715">
        <v>23.8</v>
      </c>
      <c r="B715">
        <v>-43.5</v>
      </c>
    </row>
    <row r="716" spans="1:2" x14ac:dyDescent="0.3">
      <c r="A716">
        <v>23.85</v>
      </c>
      <c r="B716">
        <v>-43.5</v>
      </c>
    </row>
    <row r="717" spans="1:2" x14ac:dyDescent="0.3">
      <c r="A717">
        <v>23.85</v>
      </c>
      <c r="B717">
        <v>-43.2</v>
      </c>
    </row>
    <row r="718" spans="1:2" x14ac:dyDescent="0.3">
      <c r="A718">
        <v>23.9</v>
      </c>
      <c r="B718">
        <v>-43.2</v>
      </c>
    </row>
    <row r="719" spans="1:2" x14ac:dyDescent="0.3">
      <c r="A719">
        <v>23.9</v>
      </c>
      <c r="B719">
        <v>-42.7</v>
      </c>
    </row>
    <row r="720" spans="1:2" x14ac:dyDescent="0.3">
      <c r="A720">
        <v>23.95</v>
      </c>
      <c r="B720">
        <v>-42.7</v>
      </c>
    </row>
    <row r="721" spans="1:2" x14ac:dyDescent="0.3">
      <c r="A721">
        <v>23.95</v>
      </c>
      <c r="B721">
        <v>-43.6</v>
      </c>
    </row>
    <row r="722" spans="1:2" x14ac:dyDescent="0.3">
      <c r="A722">
        <v>24</v>
      </c>
      <c r="B722">
        <v>-43.6</v>
      </c>
    </row>
    <row r="723" spans="1:2" x14ac:dyDescent="0.3">
      <c r="A723">
        <v>24</v>
      </c>
      <c r="B723">
        <v>-44.23</v>
      </c>
    </row>
    <row r="724" spans="1:2" x14ac:dyDescent="0.3">
      <c r="A724">
        <v>24.05</v>
      </c>
      <c r="B724">
        <v>-44.23</v>
      </c>
    </row>
    <row r="725" spans="1:2" x14ac:dyDescent="0.3">
      <c r="A725">
        <v>24.05</v>
      </c>
      <c r="B725">
        <v>-43.04</v>
      </c>
    </row>
    <row r="726" spans="1:2" x14ac:dyDescent="0.3">
      <c r="A726">
        <v>24.1</v>
      </c>
      <c r="B726">
        <v>-43.04</v>
      </c>
    </row>
    <row r="727" spans="1:2" x14ac:dyDescent="0.3">
      <c r="A727">
        <v>24.1</v>
      </c>
      <c r="B727">
        <v>-43.84</v>
      </c>
    </row>
    <row r="728" spans="1:2" x14ac:dyDescent="0.3">
      <c r="A728">
        <v>24.15</v>
      </c>
      <c r="B728">
        <v>-43.84</v>
      </c>
    </row>
    <row r="729" spans="1:2" x14ac:dyDescent="0.3">
      <c r="A729">
        <v>24.15</v>
      </c>
      <c r="B729">
        <v>-44.06</v>
      </c>
    </row>
    <row r="730" spans="1:2" x14ac:dyDescent="0.3">
      <c r="A730">
        <v>24.2</v>
      </c>
      <c r="B730">
        <v>-44.06</v>
      </c>
    </row>
    <row r="731" spans="1:2" x14ac:dyDescent="0.3">
      <c r="A731">
        <v>24.2</v>
      </c>
      <c r="B731">
        <v>-43.89</v>
      </c>
    </row>
    <row r="732" spans="1:2" x14ac:dyDescent="0.3">
      <c r="A732">
        <v>24.25</v>
      </c>
      <c r="B732">
        <v>-43.89</v>
      </c>
    </row>
    <row r="733" spans="1:2" x14ac:dyDescent="0.3">
      <c r="A733">
        <v>24.25</v>
      </c>
      <c r="B733">
        <v>-44.49</v>
      </c>
    </row>
    <row r="734" spans="1:2" x14ac:dyDescent="0.3">
      <c r="A734">
        <v>24.3</v>
      </c>
      <c r="B734">
        <v>-44.49</v>
      </c>
    </row>
    <row r="735" spans="1:2" x14ac:dyDescent="0.3">
      <c r="A735">
        <v>24.3</v>
      </c>
      <c r="B735">
        <v>-42.67</v>
      </c>
    </row>
    <row r="736" spans="1:2" x14ac:dyDescent="0.3">
      <c r="A736">
        <v>24.35</v>
      </c>
      <c r="B736">
        <v>-42.67</v>
      </c>
    </row>
    <row r="737" spans="1:2" x14ac:dyDescent="0.3">
      <c r="A737">
        <v>24.35</v>
      </c>
      <c r="B737">
        <v>-42.74</v>
      </c>
    </row>
    <row r="738" spans="1:2" x14ac:dyDescent="0.3">
      <c r="A738">
        <v>24.4</v>
      </c>
      <c r="B738">
        <v>-42.74</v>
      </c>
    </row>
    <row r="739" spans="1:2" x14ac:dyDescent="0.3">
      <c r="A739">
        <v>24.4</v>
      </c>
      <c r="B739">
        <v>-43.43</v>
      </c>
    </row>
    <row r="740" spans="1:2" x14ac:dyDescent="0.3">
      <c r="A740">
        <v>24.45</v>
      </c>
      <c r="B740">
        <v>-43.43</v>
      </c>
    </row>
    <row r="741" spans="1:2" x14ac:dyDescent="0.3">
      <c r="A741">
        <v>24.45</v>
      </c>
      <c r="B741">
        <v>-44.21</v>
      </c>
    </row>
    <row r="742" spans="1:2" x14ac:dyDescent="0.3">
      <c r="A742">
        <v>24.5</v>
      </c>
      <c r="B742">
        <v>-44.21</v>
      </c>
    </row>
    <row r="743" spans="1:2" x14ac:dyDescent="0.3">
      <c r="A743">
        <v>24.5</v>
      </c>
      <c r="B743">
        <v>-43.39</v>
      </c>
    </row>
    <row r="744" spans="1:2" x14ac:dyDescent="0.3">
      <c r="A744">
        <v>24.55</v>
      </c>
      <c r="B744">
        <v>-43.39</v>
      </c>
    </row>
    <row r="745" spans="1:2" x14ac:dyDescent="0.3">
      <c r="A745">
        <v>24.55</v>
      </c>
      <c r="B745">
        <v>-42.79</v>
      </c>
    </row>
    <row r="746" spans="1:2" x14ac:dyDescent="0.3">
      <c r="A746">
        <v>24.6</v>
      </c>
      <c r="B746">
        <v>-42.79</v>
      </c>
    </row>
    <row r="747" spans="1:2" x14ac:dyDescent="0.3">
      <c r="A747">
        <v>24.6</v>
      </c>
      <c r="B747">
        <v>-44</v>
      </c>
    </row>
    <row r="748" spans="1:2" x14ac:dyDescent="0.3">
      <c r="A748">
        <v>24.65</v>
      </c>
      <c r="B748">
        <v>-44</v>
      </c>
    </row>
    <row r="749" spans="1:2" x14ac:dyDescent="0.3">
      <c r="A749">
        <v>24.65</v>
      </c>
      <c r="B749">
        <v>-43.45</v>
      </c>
    </row>
    <row r="750" spans="1:2" x14ac:dyDescent="0.3">
      <c r="A750">
        <v>24.7</v>
      </c>
      <c r="B750">
        <v>-43.45</v>
      </c>
    </row>
    <row r="751" spans="1:2" x14ac:dyDescent="0.3">
      <c r="A751">
        <v>24.7</v>
      </c>
      <c r="B751">
        <v>-42.93</v>
      </c>
    </row>
    <row r="752" spans="1:2" x14ac:dyDescent="0.3">
      <c r="A752">
        <v>24.75</v>
      </c>
      <c r="B752">
        <v>-42.93</v>
      </c>
    </row>
    <row r="753" spans="1:2" x14ac:dyDescent="0.3">
      <c r="A753">
        <v>24.75</v>
      </c>
      <c r="B753">
        <v>-44.13</v>
      </c>
    </row>
    <row r="754" spans="1:2" x14ac:dyDescent="0.3">
      <c r="A754">
        <v>24.8</v>
      </c>
      <c r="B754">
        <v>-44.13</v>
      </c>
    </row>
    <row r="755" spans="1:2" x14ac:dyDescent="0.3">
      <c r="A755">
        <v>24.8</v>
      </c>
      <c r="B755">
        <v>-44.86</v>
      </c>
    </row>
    <row r="756" spans="1:2" x14ac:dyDescent="0.3">
      <c r="A756">
        <v>24.85</v>
      </c>
      <c r="B756">
        <v>-44.86</v>
      </c>
    </row>
    <row r="757" spans="1:2" x14ac:dyDescent="0.3">
      <c r="A757">
        <v>24.85</v>
      </c>
      <c r="B757">
        <v>-42.36</v>
      </c>
    </row>
    <row r="758" spans="1:2" x14ac:dyDescent="0.3">
      <c r="A758">
        <v>24.9</v>
      </c>
      <c r="B758">
        <v>-42.36</v>
      </c>
    </row>
    <row r="759" spans="1:2" x14ac:dyDescent="0.3">
      <c r="A759">
        <v>24.9</v>
      </c>
      <c r="B759">
        <v>-43.39</v>
      </c>
    </row>
    <row r="760" spans="1:2" x14ac:dyDescent="0.3">
      <c r="A760">
        <v>24.95</v>
      </c>
      <c r="B760">
        <v>-43.39</v>
      </c>
    </row>
    <row r="761" spans="1:2" x14ac:dyDescent="0.3">
      <c r="A761">
        <v>24.95</v>
      </c>
      <c r="B761">
        <v>-43.44</v>
      </c>
    </row>
    <row r="762" spans="1:2" x14ac:dyDescent="0.3">
      <c r="A762">
        <v>25</v>
      </c>
      <c r="B762">
        <v>-43.44</v>
      </c>
    </row>
    <row r="763" spans="1:2" x14ac:dyDescent="0.3">
      <c r="A763">
        <v>25</v>
      </c>
      <c r="B763">
        <v>-44.56</v>
      </c>
    </row>
    <row r="764" spans="1:2" x14ac:dyDescent="0.3">
      <c r="A764">
        <v>25.05</v>
      </c>
      <c r="B764">
        <v>-44.56</v>
      </c>
    </row>
    <row r="765" spans="1:2" x14ac:dyDescent="0.3">
      <c r="A765">
        <v>25.05</v>
      </c>
      <c r="B765">
        <v>-44.76</v>
      </c>
    </row>
    <row r="766" spans="1:2" x14ac:dyDescent="0.3">
      <c r="A766">
        <v>25.1</v>
      </c>
      <c r="B766">
        <v>-44.76</v>
      </c>
    </row>
    <row r="767" spans="1:2" x14ac:dyDescent="0.3">
      <c r="A767">
        <v>25.1</v>
      </c>
      <c r="B767">
        <v>-44.18</v>
      </c>
    </row>
    <row r="768" spans="1:2" x14ac:dyDescent="0.3">
      <c r="A768">
        <v>25.15</v>
      </c>
      <c r="B768">
        <v>-44.18</v>
      </c>
    </row>
    <row r="769" spans="1:2" x14ac:dyDescent="0.3">
      <c r="A769">
        <v>25.15</v>
      </c>
      <c r="B769">
        <v>-43.73</v>
      </c>
    </row>
    <row r="770" spans="1:2" x14ac:dyDescent="0.3">
      <c r="A770">
        <v>25.2</v>
      </c>
      <c r="B770">
        <v>-43.73</v>
      </c>
    </row>
    <row r="771" spans="1:2" x14ac:dyDescent="0.3">
      <c r="A771">
        <v>25.2</v>
      </c>
      <c r="B771">
        <v>-44.76</v>
      </c>
    </row>
    <row r="772" spans="1:2" x14ac:dyDescent="0.3">
      <c r="A772">
        <v>25.25</v>
      </c>
      <c r="B772">
        <v>-44.76</v>
      </c>
    </row>
    <row r="773" spans="1:2" x14ac:dyDescent="0.3">
      <c r="A773">
        <v>25.25</v>
      </c>
      <c r="B773">
        <v>-44.37</v>
      </c>
    </row>
    <row r="774" spans="1:2" x14ac:dyDescent="0.3">
      <c r="A774">
        <v>25.3</v>
      </c>
      <c r="B774">
        <v>-44.37</v>
      </c>
    </row>
    <row r="775" spans="1:2" x14ac:dyDescent="0.3">
      <c r="A775">
        <v>25.3</v>
      </c>
      <c r="B775">
        <v>-43.45</v>
      </c>
    </row>
    <row r="776" spans="1:2" x14ac:dyDescent="0.3">
      <c r="A776">
        <v>25.35</v>
      </c>
      <c r="B776">
        <v>-43.45</v>
      </c>
    </row>
    <row r="777" spans="1:2" x14ac:dyDescent="0.3">
      <c r="A777">
        <v>25.35</v>
      </c>
      <c r="B777">
        <v>-43.45</v>
      </c>
    </row>
    <row r="778" spans="1:2" x14ac:dyDescent="0.3">
      <c r="A778">
        <v>25.4</v>
      </c>
      <c r="B778">
        <v>-43.45</v>
      </c>
    </row>
    <row r="779" spans="1:2" x14ac:dyDescent="0.3">
      <c r="A779">
        <v>25.4</v>
      </c>
      <c r="B779">
        <v>-44.76</v>
      </c>
    </row>
    <row r="780" spans="1:2" x14ac:dyDescent="0.3">
      <c r="A780">
        <v>25.45</v>
      </c>
      <c r="B780">
        <v>-44.76</v>
      </c>
    </row>
    <row r="781" spans="1:2" x14ac:dyDescent="0.3">
      <c r="A781">
        <v>25.45</v>
      </c>
      <c r="B781">
        <v>-42.46</v>
      </c>
    </row>
    <row r="782" spans="1:2" x14ac:dyDescent="0.3">
      <c r="A782">
        <v>25.5</v>
      </c>
      <c r="B782">
        <v>-42.46</v>
      </c>
    </row>
    <row r="783" spans="1:2" x14ac:dyDescent="0.3">
      <c r="A783">
        <v>25.5</v>
      </c>
      <c r="B783">
        <v>-43.24</v>
      </c>
    </row>
    <row r="784" spans="1:2" x14ac:dyDescent="0.3">
      <c r="A784">
        <v>25.55</v>
      </c>
      <c r="B784">
        <v>-43.24</v>
      </c>
    </row>
    <row r="785" spans="1:2" x14ac:dyDescent="0.3">
      <c r="A785">
        <v>25.55</v>
      </c>
      <c r="B785">
        <v>-42.27</v>
      </c>
    </row>
    <row r="786" spans="1:2" x14ac:dyDescent="0.3">
      <c r="A786">
        <v>25.6</v>
      </c>
      <c r="B786">
        <v>-42.27</v>
      </c>
    </row>
    <row r="787" spans="1:2" x14ac:dyDescent="0.3">
      <c r="A787">
        <v>25.6</v>
      </c>
      <c r="B787">
        <v>-42.76</v>
      </c>
    </row>
    <row r="788" spans="1:2" x14ac:dyDescent="0.3">
      <c r="A788">
        <v>25.65</v>
      </c>
      <c r="B788">
        <v>-42.76</v>
      </c>
    </row>
    <row r="789" spans="1:2" x14ac:dyDescent="0.3">
      <c r="A789">
        <v>25.65</v>
      </c>
      <c r="B789">
        <v>-43.18</v>
      </c>
    </row>
    <row r="790" spans="1:2" x14ac:dyDescent="0.3">
      <c r="A790">
        <v>25.7</v>
      </c>
      <c r="B790">
        <v>-43.18</v>
      </c>
    </row>
    <row r="791" spans="1:2" x14ac:dyDescent="0.3">
      <c r="A791">
        <v>25.7</v>
      </c>
      <c r="B791">
        <v>-42.79</v>
      </c>
    </row>
    <row r="792" spans="1:2" x14ac:dyDescent="0.3">
      <c r="A792">
        <v>25.75</v>
      </c>
      <c r="B792">
        <v>-42.79</v>
      </c>
    </row>
    <row r="793" spans="1:2" x14ac:dyDescent="0.3">
      <c r="A793">
        <v>25.75</v>
      </c>
      <c r="B793">
        <v>-42.67</v>
      </c>
    </row>
    <row r="794" spans="1:2" x14ac:dyDescent="0.3">
      <c r="A794">
        <v>25.8</v>
      </c>
      <c r="B794">
        <v>-42.67</v>
      </c>
    </row>
    <row r="795" spans="1:2" x14ac:dyDescent="0.3">
      <c r="A795">
        <v>25.8</v>
      </c>
      <c r="B795">
        <v>-42.44</v>
      </c>
    </row>
    <row r="796" spans="1:2" x14ac:dyDescent="0.3">
      <c r="A796">
        <v>25.85</v>
      </c>
      <c r="B796">
        <v>-42.44</v>
      </c>
    </row>
    <row r="797" spans="1:2" x14ac:dyDescent="0.3">
      <c r="A797">
        <v>25.85</v>
      </c>
      <c r="B797">
        <v>-42.94</v>
      </c>
    </row>
    <row r="798" spans="1:2" x14ac:dyDescent="0.3">
      <c r="A798">
        <v>25.9</v>
      </c>
      <c r="B798">
        <v>-42.94</v>
      </c>
    </row>
    <row r="799" spans="1:2" x14ac:dyDescent="0.3">
      <c r="A799">
        <v>25.9</v>
      </c>
      <c r="B799">
        <v>-43.79</v>
      </c>
    </row>
    <row r="800" spans="1:2" x14ac:dyDescent="0.3">
      <c r="A800">
        <v>25.95</v>
      </c>
      <c r="B800">
        <v>-43.79</v>
      </c>
    </row>
    <row r="801" spans="1:2" x14ac:dyDescent="0.3">
      <c r="A801">
        <v>25.95</v>
      </c>
      <c r="B801">
        <v>-45.62</v>
      </c>
    </row>
    <row r="802" spans="1:2" x14ac:dyDescent="0.3">
      <c r="A802">
        <v>26</v>
      </c>
      <c r="B802">
        <v>-45.62</v>
      </c>
    </row>
    <row r="803" spans="1:2" x14ac:dyDescent="0.3">
      <c r="A803">
        <v>26</v>
      </c>
      <c r="B803">
        <v>-44.4</v>
      </c>
    </row>
    <row r="804" spans="1:2" x14ac:dyDescent="0.3">
      <c r="A804">
        <v>26.05</v>
      </c>
      <c r="B804">
        <v>-44.4</v>
      </c>
    </row>
    <row r="805" spans="1:2" x14ac:dyDescent="0.3">
      <c r="A805">
        <v>26.05</v>
      </c>
      <c r="B805">
        <v>-43.54</v>
      </c>
    </row>
    <row r="806" spans="1:2" x14ac:dyDescent="0.3">
      <c r="A806">
        <v>26.1</v>
      </c>
      <c r="B806">
        <v>-43.54</v>
      </c>
    </row>
    <row r="807" spans="1:2" x14ac:dyDescent="0.3">
      <c r="A807">
        <v>26.1</v>
      </c>
      <c r="B807">
        <v>-43.17</v>
      </c>
    </row>
    <row r="808" spans="1:2" x14ac:dyDescent="0.3">
      <c r="A808">
        <v>26.15</v>
      </c>
      <c r="B808">
        <v>-43.17</v>
      </c>
    </row>
    <row r="809" spans="1:2" x14ac:dyDescent="0.3">
      <c r="A809">
        <v>26.15</v>
      </c>
      <c r="B809">
        <v>-43.36</v>
      </c>
    </row>
    <row r="810" spans="1:2" x14ac:dyDescent="0.3">
      <c r="A810">
        <v>26.2</v>
      </c>
      <c r="B810">
        <v>-43.36</v>
      </c>
    </row>
    <row r="811" spans="1:2" x14ac:dyDescent="0.3">
      <c r="A811">
        <v>26.2</v>
      </c>
      <c r="B811">
        <v>-44.16</v>
      </c>
    </row>
    <row r="812" spans="1:2" x14ac:dyDescent="0.3">
      <c r="A812">
        <v>26.25</v>
      </c>
      <c r="B812">
        <v>-44.16</v>
      </c>
    </row>
    <row r="813" spans="1:2" x14ac:dyDescent="0.3">
      <c r="A813">
        <v>26.25</v>
      </c>
      <c r="B813">
        <v>-44.07</v>
      </c>
    </row>
    <row r="814" spans="1:2" x14ac:dyDescent="0.3">
      <c r="A814">
        <v>26.3</v>
      </c>
      <c r="B814">
        <v>-44.07</v>
      </c>
    </row>
    <row r="815" spans="1:2" x14ac:dyDescent="0.3">
      <c r="A815">
        <v>26.3</v>
      </c>
      <c r="B815">
        <v>-43.23</v>
      </c>
    </row>
    <row r="816" spans="1:2" x14ac:dyDescent="0.3">
      <c r="A816">
        <v>26.35</v>
      </c>
      <c r="B816">
        <v>-43.23</v>
      </c>
    </row>
    <row r="817" spans="1:2" x14ac:dyDescent="0.3">
      <c r="A817">
        <v>26.35</v>
      </c>
      <c r="B817">
        <v>-43.91</v>
      </c>
    </row>
    <row r="818" spans="1:2" x14ac:dyDescent="0.3">
      <c r="A818">
        <v>26.4</v>
      </c>
      <c r="B818">
        <v>-43.91</v>
      </c>
    </row>
    <row r="819" spans="1:2" x14ac:dyDescent="0.3">
      <c r="A819">
        <v>26.4</v>
      </c>
      <c r="B819">
        <v>-43.47</v>
      </c>
    </row>
    <row r="820" spans="1:2" x14ac:dyDescent="0.3">
      <c r="A820">
        <v>26.45</v>
      </c>
      <c r="B820">
        <v>-43.47</v>
      </c>
    </row>
    <row r="821" spans="1:2" x14ac:dyDescent="0.3">
      <c r="A821">
        <v>26.45</v>
      </c>
      <c r="B821">
        <v>-42.54</v>
      </c>
    </row>
    <row r="822" spans="1:2" x14ac:dyDescent="0.3">
      <c r="A822">
        <v>26.5</v>
      </c>
      <c r="B822">
        <v>-42.54</v>
      </c>
    </row>
    <row r="823" spans="1:2" x14ac:dyDescent="0.3">
      <c r="A823">
        <v>26.5</v>
      </c>
      <c r="B823">
        <v>-43.97</v>
      </c>
    </row>
    <row r="824" spans="1:2" x14ac:dyDescent="0.3">
      <c r="A824">
        <v>26.55</v>
      </c>
      <c r="B824">
        <v>-43.97</v>
      </c>
    </row>
    <row r="825" spans="1:2" x14ac:dyDescent="0.3">
      <c r="A825">
        <v>26.55</v>
      </c>
      <c r="B825">
        <v>-43.97</v>
      </c>
    </row>
    <row r="826" spans="1:2" x14ac:dyDescent="0.3">
      <c r="A826">
        <v>26.6</v>
      </c>
      <c r="B826">
        <v>-43.97</v>
      </c>
    </row>
    <row r="827" spans="1:2" x14ac:dyDescent="0.3">
      <c r="A827">
        <v>26.6</v>
      </c>
      <c r="B827">
        <v>-42.36</v>
      </c>
    </row>
    <row r="828" spans="1:2" x14ac:dyDescent="0.3">
      <c r="A828">
        <v>26.65</v>
      </c>
      <c r="B828">
        <v>-42.36</v>
      </c>
    </row>
    <row r="829" spans="1:2" x14ac:dyDescent="0.3">
      <c r="A829">
        <v>26.65</v>
      </c>
      <c r="B829">
        <v>-42.63</v>
      </c>
    </row>
    <row r="830" spans="1:2" x14ac:dyDescent="0.3">
      <c r="A830">
        <v>26.7</v>
      </c>
      <c r="B830">
        <v>-42.63</v>
      </c>
    </row>
    <row r="831" spans="1:2" x14ac:dyDescent="0.3">
      <c r="A831">
        <v>26.7</v>
      </c>
      <c r="B831">
        <v>-43.45</v>
      </c>
    </row>
    <row r="832" spans="1:2" x14ac:dyDescent="0.3">
      <c r="A832">
        <v>26.75</v>
      </c>
      <c r="B832">
        <v>-43.45</v>
      </c>
    </row>
    <row r="833" spans="1:2" x14ac:dyDescent="0.3">
      <c r="A833">
        <v>26.75</v>
      </c>
      <c r="B833">
        <v>-43.35</v>
      </c>
    </row>
    <row r="834" spans="1:2" x14ac:dyDescent="0.3">
      <c r="A834">
        <v>26.8</v>
      </c>
      <c r="B834">
        <v>-43.35</v>
      </c>
    </row>
    <row r="835" spans="1:2" x14ac:dyDescent="0.3">
      <c r="A835">
        <v>26.8</v>
      </c>
      <c r="B835">
        <v>-43.08</v>
      </c>
    </row>
    <row r="836" spans="1:2" x14ac:dyDescent="0.3">
      <c r="A836">
        <v>26.85</v>
      </c>
      <c r="B836">
        <v>-43.08</v>
      </c>
    </row>
    <row r="837" spans="1:2" x14ac:dyDescent="0.3">
      <c r="A837">
        <v>26.85</v>
      </c>
      <c r="B837">
        <v>-44.06</v>
      </c>
    </row>
    <row r="838" spans="1:2" x14ac:dyDescent="0.3">
      <c r="A838">
        <v>26.9</v>
      </c>
      <c r="B838">
        <v>-44.06</v>
      </c>
    </row>
    <row r="839" spans="1:2" x14ac:dyDescent="0.3">
      <c r="A839">
        <v>26.9</v>
      </c>
      <c r="B839">
        <v>-44.4</v>
      </c>
    </row>
    <row r="840" spans="1:2" x14ac:dyDescent="0.3">
      <c r="A840">
        <v>26.95</v>
      </c>
      <c r="B840">
        <v>-44.4</v>
      </c>
    </row>
    <row r="841" spans="1:2" x14ac:dyDescent="0.3">
      <c r="A841">
        <v>26.95</v>
      </c>
      <c r="B841">
        <v>-44.58</v>
      </c>
    </row>
    <row r="842" spans="1:2" x14ac:dyDescent="0.3">
      <c r="A842">
        <v>27</v>
      </c>
      <c r="B842">
        <v>-44.58</v>
      </c>
    </row>
    <row r="843" spans="1:2" x14ac:dyDescent="0.3">
      <c r="A843">
        <v>27</v>
      </c>
      <c r="B843">
        <v>-43.61</v>
      </c>
    </row>
    <row r="844" spans="1:2" x14ac:dyDescent="0.3">
      <c r="A844">
        <v>27.05</v>
      </c>
      <c r="B844">
        <v>-43.61</v>
      </c>
    </row>
    <row r="845" spans="1:2" x14ac:dyDescent="0.3">
      <c r="A845">
        <v>27.05</v>
      </c>
      <c r="B845">
        <v>-43.03</v>
      </c>
    </row>
    <row r="846" spans="1:2" x14ac:dyDescent="0.3">
      <c r="A846">
        <v>27.1</v>
      </c>
      <c r="B846">
        <v>-43.03</v>
      </c>
    </row>
    <row r="847" spans="1:2" x14ac:dyDescent="0.3">
      <c r="A847">
        <v>27.1</v>
      </c>
      <c r="B847">
        <v>-41.42</v>
      </c>
    </row>
    <row r="848" spans="1:2" x14ac:dyDescent="0.3">
      <c r="A848">
        <v>27.15</v>
      </c>
      <c r="B848">
        <v>-41.42</v>
      </c>
    </row>
    <row r="849" spans="1:2" x14ac:dyDescent="0.3">
      <c r="A849">
        <v>27.15</v>
      </c>
      <c r="B849">
        <v>-40.72</v>
      </c>
    </row>
    <row r="850" spans="1:2" x14ac:dyDescent="0.3">
      <c r="A850">
        <v>27.2</v>
      </c>
      <c r="B850">
        <v>-40.72</v>
      </c>
    </row>
    <row r="851" spans="1:2" x14ac:dyDescent="0.3">
      <c r="A851">
        <v>27.2</v>
      </c>
      <c r="B851">
        <v>-39.619999999999997</v>
      </c>
    </row>
    <row r="852" spans="1:2" x14ac:dyDescent="0.3">
      <c r="A852">
        <v>27.25</v>
      </c>
      <c r="B852">
        <v>-39.619999999999997</v>
      </c>
    </row>
    <row r="853" spans="1:2" x14ac:dyDescent="0.3">
      <c r="A853">
        <v>27.25</v>
      </c>
      <c r="B853">
        <v>-39.4</v>
      </c>
    </row>
    <row r="854" spans="1:2" x14ac:dyDescent="0.3">
      <c r="A854">
        <v>27.3</v>
      </c>
      <c r="B854">
        <v>-39.4</v>
      </c>
    </row>
    <row r="855" spans="1:2" x14ac:dyDescent="0.3">
      <c r="A855">
        <v>27.3</v>
      </c>
      <c r="B855">
        <v>-38.369999999999997</v>
      </c>
    </row>
    <row r="856" spans="1:2" x14ac:dyDescent="0.3">
      <c r="A856">
        <v>27.35</v>
      </c>
      <c r="B856">
        <v>-38.369999999999997</v>
      </c>
    </row>
    <row r="857" spans="1:2" x14ac:dyDescent="0.3">
      <c r="A857">
        <v>27.35</v>
      </c>
      <c r="B857">
        <v>-43.2</v>
      </c>
    </row>
    <row r="858" spans="1:2" x14ac:dyDescent="0.3">
      <c r="A858">
        <v>27.4</v>
      </c>
      <c r="B858">
        <v>-43.2</v>
      </c>
    </row>
    <row r="859" spans="1:2" x14ac:dyDescent="0.3">
      <c r="A859">
        <v>27.4</v>
      </c>
      <c r="B859">
        <v>-43.72</v>
      </c>
    </row>
    <row r="860" spans="1:2" x14ac:dyDescent="0.3">
      <c r="A860">
        <v>27.45</v>
      </c>
      <c r="B860">
        <v>-43.72</v>
      </c>
    </row>
    <row r="861" spans="1:2" x14ac:dyDescent="0.3">
      <c r="A861">
        <v>27.45</v>
      </c>
      <c r="B861">
        <v>-43.82</v>
      </c>
    </row>
    <row r="862" spans="1:2" x14ac:dyDescent="0.3">
      <c r="A862">
        <v>27.5</v>
      </c>
      <c r="B862">
        <v>-43.82</v>
      </c>
    </row>
    <row r="863" spans="1:2" x14ac:dyDescent="0.3">
      <c r="A863">
        <v>27.5</v>
      </c>
      <c r="B863">
        <v>-43.85</v>
      </c>
    </row>
    <row r="864" spans="1:2" x14ac:dyDescent="0.3">
      <c r="A864">
        <v>27.55</v>
      </c>
      <c r="B864">
        <v>-43.85</v>
      </c>
    </row>
    <row r="865" spans="1:2" x14ac:dyDescent="0.3">
      <c r="A865">
        <v>27.55</v>
      </c>
      <c r="B865">
        <v>-44.84</v>
      </c>
    </row>
    <row r="866" spans="1:2" x14ac:dyDescent="0.3">
      <c r="A866">
        <v>27.6</v>
      </c>
      <c r="B866">
        <v>-44.84</v>
      </c>
    </row>
    <row r="867" spans="1:2" x14ac:dyDescent="0.3">
      <c r="A867">
        <v>27.6</v>
      </c>
      <c r="B867">
        <v>-44.2</v>
      </c>
    </row>
    <row r="868" spans="1:2" x14ac:dyDescent="0.3">
      <c r="A868">
        <v>27.65</v>
      </c>
      <c r="B868">
        <v>-44.2</v>
      </c>
    </row>
    <row r="869" spans="1:2" x14ac:dyDescent="0.3">
      <c r="A869">
        <v>27.65</v>
      </c>
      <c r="B869">
        <v>-44.58</v>
      </c>
    </row>
    <row r="870" spans="1:2" x14ac:dyDescent="0.3">
      <c r="A870">
        <v>27.7</v>
      </c>
      <c r="B870">
        <v>-44.58</v>
      </c>
    </row>
    <row r="871" spans="1:2" x14ac:dyDescent="0.3">
      <c r="A871">
        <v>27.7</v>
      </c>
      <c r="B871">
        <v>-44.05</v>
      </c>
    </row>
    <row r="872" spans="1:2" x14ac:dyDescent="0.3">
      <c r="A872">
        <v>27.75</v>
      </c>
      <c r="B872">
        <v>-44.05</v>
      </c>
    </row>
    <row r="873" spans="1:2" x14ac:dyDescent="0.3">
      <c r="A873">
        <v>27.75</v>
      </c>
      <c r="B873">
        <v>-44.15</v>
      </c>
    </row>
    <row r="874" spans="1:2" x14ac:dyDescent="0.3">
      <c r="A874">
        <v>27.8</v>
      </c>
      <c r="B874">
        <v>-44.15</v>
      </c>
    </row>
    <row r="875" spans="1:2" x14ac:dyDescent="0.3">
      <c r="A875">
        <v>27.8</v>
      </c>
      <c r="B875">
        <v>-44.48</v>
      </c>
    </row>
    <row r="876" spans="1:2" x14ac:dyDescent="0.3">
      <c r="A876">
        <v>27.85</v>
      </c>
      <c r="B876">
        <v>-44.48</v>
      </c>
    </row>
    <row r="877" spans="1:2" x14ac:dyDescent="0.3">
      <c r="A877">
        <v>27.85</v>
      </c>
      <c r="B877">
        <v>-43.75</v>
      </c>
    </row>
    <row r="878" spans="1:2" x14ac:dyDescent="0.3">
      <c r="A878">
        <v>27.9</v>
      </c>
      <c r="B878">
        <v>-43.75</v>
      </c>
    </row>
    <row r="879" spans="1:2" x14ac:dyDescent="0.3">
      <c r="A879">
        <v>27.9</v>
      </c>
      <c r="B879">
        <v>-44.7</v>
      </c>
    </row>
    <row r="880" spans="1:2" x14ac:dyDescent="0.3">
      <c r="A880">
        <v>27.95</v>
      </c>
      <c r="B880">
        <v>-44.7</v>
      </c>
    </row>
    <row r="881" spans="1:2" x14ac:dyDescent="0.3">
      <c r="A881">
        <v>27.95</v>
      </c>
      <c r="B881">
        <v>-43.59</v>
      </c>
    </row>
    <row r="882" spans="1:2" x14ac:dyDescent="0.3">
      <c r="A882">
        <v>28</v>
      </c>
      <c r="B882">
        <v>-43.59</v>
      </c>
    </row>
    <row r="883" spans="1:2" x14ac:dyDescent="0.3">
      <c r="A883">
        <v>28</v>
      </c>
      <c r="B883">
        <v>-43.78</v>
      </c>
    </row>
    <row r="884" spans="1:2" x14ac:dyDescent="0.3">
      <c r="A884">
        <v>28.05</v>
      </c>
      <c r="B884">
        <v>-43.78</v>
      </c>
    </row>
    <row r="885" spans="1:2" x14ac:dyDescent="0.3">
      <c r="A885">
        <v>28.05</v>
      </c>
      <c r="B885">
        <v>-44.28</v>
      </c>
    </row>
    <row r="886" spans="1:2" x14ac:dyDescent="0.3">
      <c r="A886">
        <v>28.1</v>
      </c>
      <c r="B886">
        <v>-44.28</v>
      </c>
    </row>
    <row r="887" spans="1:2" x14ac:dyDescent="0.3">
      <c r="A887">
        <v>28.1</v>
      </c>
      <c r="B887">
        <v>-43.2</v>
      </c>
    </row>
    <row r="888" spans="1:2" x14ac:dyDescent="0.3">
      <c r="A888">
        <v>28.15</v>
      </c>
      <c r="B888">
        <v>-43.2</v>
      </c>
    </row>
    <row r="889" spans="1:2" x14ac:dyDescent="0.3">
      <c r="A889">
        <v>28.15</v>
      </c>
      <c r="B889">
        <v>-43.23</v>
      </c>
    </row>
    <row r="890" spans="1:2" x14ac:dyDescent="0.3">
      <c r="A890">
        <v>28.2</v>
      </c>
      <c r="B890">
        <v>-43.23</v>
      </c>
    </row>
    <row r="891" spans="1:2" x14ac:dyDescent="0.3">
      <c r="A891">
        <v>28.2</v>
      </c>
      <c r="B891">
        <v>-40.58</v>
      </c>
    </row>
    <row r="892" spans="1:2" x14ac:dyDescent="0.3">
      <c r="A892">
        <v>28.25</v>
      </c>
      <c r="B892">
        <v>-40.58</v>
      </c>
    </row>
    <row r="893" spans="1:2" x14ac:dyDescent="0.3">
      <c r="A893">
        <v>28.25</v>
      </c>
      <c r="B893">
        <v>-40.33</v>
      </c>
    </row>
    <row r="894" spans="1:2" x14ac:dyDescent="0.3">
      <c r="A894">
        <v>28.3</v>
      </c>
      <c r="B894">
        <v>-40.33</v>
      </c>
    </row>
    <row r="895" spans="1:2" x14ac:dyDescent="0.3">
      <c r="A895">
        <v>28.3</v>
      </c>
      <c r="B895">
        <v>-40.450000000000003</v>
      </c>
    </row>
    <row r="896" spans="1:2" x14ac:dyDescent="0.3">
      <c r="A896">
        <v>28.35</v>
      </c>
      <c r="B896">
        <v>-40.450000000000003</v>
      </c>
    </row>
    <row r="897" spans="1:2" x14ac:dyDescent="0.3">
      <c r="A897">
        <v>28.35</v>
      </c>
      <c r="B897">
        <v>-40.36</v>
      </c>
    </row>
    <row r="898" spans="1:2" x14ac:dyDescent="0.3">
      <c r="A898">
        <v>28.4</v>
      </c>
      <c r="B898">
        <v>-40.36</v>
      </c>
    </row>
    <row r="899" spans="1:2" x14ac:dyDescent="0.3">
      <c r="A899">
        <v>28.4</v>
      </c>
      <c r="B899">
        <v>-39.020000000000003</v>
      </c>
    </row>
    <row r="900" spans="1:2" x14ac:dyDescent="0.3">
      <c r="A900">
        <v>28.45</v>
      </c>
      <c r="B900">
        <v>-39.020000000000003</v>
      </c>
    </row>
    <row r="901" spans="1:2" x14ac:dyDescent="0.3">
      <c r="A901">
        <v>28.45</v>
      </c>
      <c r="B901">
        <v>-40.229999999999997</v>
      </c>
    </row>
    <row r="902" spans="1:2" x14ac:dyDescent="0.3">
      <c r="A902">
        <v>28.5</v>
      </c>
      <c r="B902">
        <v>-40.229999999999997</v>
      </c>
    </row>
    <row r="903" spans="1:2" x14ac:dyDescent="0.3">
      <c r="A903">
        <v>28.5</v>
      </c>
      <c r="B903">
        <v>-42.5</v>
      </c>
    </row>
    <row r="904" spans="1:2" x14ac:dyDescent="0.3">
      <c r="A904">
        <v>28.55</v>
      </c>
      <c r="B904">
        <v>-42.5</v>
      </c>
    </row>
    <row r="905" spans="1:2" x14ac:dyDescent="0.3">
      <c r="A905">
        <v>28.55</v>
      </c>
      <c r="B905">
        <v>-43.6</v>
      </c>
    </row>
    <row r="906" spans="1:2" x14ac:dyDescent="0.3">
      <c r="A906">
        <v>28.6</v>
      </c>
      <c r="B906">
        <v>-43.6</v>
      </c>
    </row>
    <row r="907" spans="1:2" x14ac:dyDescent="0.3">
      <c r="A907">
        <v>28.6</v>
      </c>
      <c r="B907">
        <v>-44.37</v>
      </c>
    </row>
    <row r="908" spans="1:2" x14ac:dyDescent="0.3">
      <c r="A908">
        <v>28.65</v>
      </c>
      <c r="B908">
        <v>-44.37</v>
      </c>
    </row>
    <row r="909" spans="1:2" x14ac:dyDescent="0.3">
      <c r="A909">
        <v>28.65</v>
      </c>
      <c r="B909">
        <v>-44.08</v>
      </c>
    </row>
    <row r="910" spans="1:2" x14ac:dyDescent="0.3">
      <c r="A910">
        <v>28.7</v>
      </c>
      <c r="B910">
        <v>-44.08</v>
      </c>
    </row>
    <row r="911" spans="1:2" x14ac:dyDescent="0.3">
      <c r="A911">
        <v>28.7</v>
      </c>
      <c r="B911">
        <v>-44.54</v>
      </c>
    </row>
    <row r="912" spans="1:2" x14ac:dyDescent="0.3">
      <c r="A912">
        <v>28.75</v>
      </c>
      <c r="B912">
        <v>-44.54</v>
      </c>
    </row>
    <row r="913" spans="1:2" x14ac:dyDescent="0.3">
      <c r="A913">
        <v>28.75</v>
      </c>
      <c r="B913">
        <v>-43.71</v>
      </c>
    </row>
    <row r="914" spans="1:2" x14ac:dyDescent="0.3">
      <c r="A914">
        <v>28.8</v>
      </c>
      <c r="B914">
        <v>-43.71</v>
      </c>
    </row>
    <row r="915" spans="1:2" x14ac:dyDescent="0.3">
      <c r="A915">
        <v>28.8</v>
      </c>
      <c r="B915">
        <v>-44.13</v>
      </c>
    </row>
    <row r="916" spans="1:2" x14ac:dyDescent="0.3">
      <c r="A916">
        <v>28.85</v>
      </c>
      <c r="B916">
        <v>-44.13</v>
      </c>
    </row>
    <row r="917" spans="1:2" x14ac:dyDescent="0.3">
      <c r="A917">
        <v>28.85</v>
      </c>
      <c r="B917">
        <v>-44.32</v>
      </c>
    </row>
    <row r="918" spans="1:2" x14ac:dyDescent="0.3">
      <c r="A918">
        <v>28.9</v>
      </c>
      <c r="B918">
        <v>-44.32</v>
      </c>
    </row>
    <row r="919" spans="1:2" x14ac:dyDescent="0.3">
      <c r="A919">
        <v>28.9</v>
      </c>
      <c r="B919">
        <v>-43.65</v>
      </c>
    </row>
    <row r="920" spans="1:2" x14ac:dyDescent="0.3">
      <c r="A920">
        <v>28.95</v>
      </c>
      <c r="B920">
        <v>-43.65</v>
      </c>
    </row>
    <row r="921" spans="1:2" x14ac:dyDescent="0.3">
      <c r="A921">
        <v>28.95</v>
      </c>
      <c r="B921">
        <v>-43.51</v>
      </c>
    </row>
    <row r="922" spans="1:2" x14ac:dyDescent="0.3">
      <c r="A922">
        <v>29</v>
      </c>
      <c r="B922">
        <v>-43.51</v>
      </c>
    </row>
    <row r="923" spans="1:2" x14ac:dyDescent="0.3">
      <c r="A923">
        <v>29</v>
      </c>
      <c r="B923">
        <v>-44.14</v>
      </c>
    </row>
    <row r="924" spans="1:2" x14ac:dyDescent="0.3">
      <c r="A924">
        <v>29.05</v>
      </c>
      <c r="B924">
        <v>-44.14</v>
      </c>
    </row>
    <row r="925" spans="1:2" x14ac:dyDescent="0.3">
      <c r="A925">
        <v>29.05</v>
      </c>
      <c r="B925">
        <v>-45.07</v>
      </c>
    </row>
    <row r="926" spans="1:2" x14ac:dyDescent="0.3">
      <c r="A926">
        <v>29.1</v>
      </c>
      <c r="B926">
        <v>-45.07</v>
      </c>
    </row>
    <row r="927" spans="1:2" x14ac:dyDescent="0.3">
      <c r="A927">
        <v>29.1</v>
      </c>
      <c r="B927">
        <v>-44.35</v>
      </c>
    </row>
    <row r="928" spans="1:2" x14ac:dyDescent="0.3">
      <c r="A928">
        <v>29.15</v>
      </c>
      <c r="B928">
        <v>-44.35</v>
      </c>
    </row>
    <row r="929" spans="1:2" x14ac:dyDescent="0.3">
      <c r="A929">
        <v>29.15</v>
      </c>
      <c r="B929">
        <v>-45.82</v>
      </c>
    </row>
    <row r="930" spans="1:2" x14ac:dyDescent="0.3">
      <c r="A930">
        <v>29.2</v>
      </c>
      <c r="B930">
        <v>-45.82</v>
      </c>
    </row>
    <row r="931" spans="1:2" x14ac:dyDescent="0.3">
      <c r="A931">
        <v>29.2</v>
      </c>
      <c r="B931">
        <v>-44.57</v>
      </c>
    </row>
    <row r="932" spans="1:2" x14ac:dyDescent="0.3">
      <c r="A932">
        <v>29.25</v>
      </c>
      <c r="B932">
        <v>-44.57</v>
      </c>
    </row>
    <row r="933" spans="1:2" x14ac:dyDescent="0.3">
      <c r="A933">
        <v>29.25</v>
      </c>
      <c r="B933">
        <v>-45.22</v>
      </c>
    </row>
    <row r="934" spans="1:2" x14ac:dyDescent="0.3">
      <c r="A934">
        <v>29.3</v>
      </c>
      <c r="B934">
        <v>-45.22</v>
      </c>
    </row>
    <row r="935" spans="1:2" x14ac:dyDescent="0.3">
      <c r="A935">
        <v>29.3</v>
      </c>
      <c r="B935">
        <v>-44.39</v>
      </c>
    </row>
    <row r="936" spans="1:2" x14ac:dyDescent="0.3">
      <c r="A936">
        <v>29.35</v>
      </c>
      <c r="B936">
        <v>-44.39</v>
      </c>
    </row>
    <row r="937" spans="1:2" x14ac:dyDescent="0.3">
      <c r="A937">
        <v>29.35</v>
      </c>
      <c r="B937">
        <v>-44.15</v>
      </c>
    </row>
    <row r="938" spans="1:2" x14ac:dyDescent="0.3">
      <c r="A938">
        <v>29.4</v>
      </c>
      <c r="B938">
        <v>-44.15</v>
      </c>
    </row>
    <row r="939" spans="1:2" x14ac:dyDescent="0.3">
      <c r="A939">
        <v>29.4</v>
      </c>
      <c r="B939">
        <v>-44.31</v>
      </c>
    </row>
    <row r="940" spans="1:2" x14ac:dyDescent="0.3">
      <c r="A940">
        <v>29.45</v>
      </c>
      <c r="B940">
        <v>-44.31</v>
      </c>
    </row>
    <row r="941" spans="1:2" x14ac:dyDescent="0.3">
      <c r="A941">
        <v>29.45</v>
      </c>
      <c r="B941">
        <v>-44.51</v>
      </c>
    </row>
    <row r="942" spans="1:2" x14ac:dyDescent="0.3">
      <c r="A942">
        <v>29.5</v>
      </c>
      <c r="B942">
        <v>-44.51</v>
      </c>
    </row>
    <row r="943" spans="1:2" x14ac:dyDescent="0.3">
      <c r="A943">
        <v>29.5</v>
      </c>
      <c r="B943">
        <v>-44.06</v>
      </c>
    </row>
    <row r="944" spans="1:2" x14ac:dyDescent="0.3">
      <c r="A944">
        <v>29.55</v>
      </c>
      <c r="B944">
        <v>-44.06</v>
      </c>
    </row>
    <row r="945" spans="1:2" x14ac:dyDescent="0.3">
      <c r="A945">
        <v>29.55</v>
      </c>
      <c r="B945">
        <v>-43.98</v>
      </c>
    </row>
    <row r="946" spans="1:2" x14ac:dyDescent="0.3">
      <c r="A946">
        <v>29.6</v>
      </c>
      <c r="B946">
        <v>-43.98</v>
      </c>
    </row>
    <row r="947" spans="1:2" x14ac:dyDescent="0.3">
      <c r="A947">
        <v>29.6</v>
      </c>
      <c r="B947">
        <v>-44.83</v>
      </c>
    </row>
    <row r="948" spans="1:2" x14ac:dyDescent="0.3">
      <c r="A948">
        <v>29.65</v>
      </c>
      <c r="B948">
        <v>-44.83</v>
      </c>
    </row>
    <row r="949" spans="1:2" x14ac:dyDescent="0.3">
      <c r="A949">
        <v>29.65</v>
      </c>
      <c r="B949">
        <v>-44.47</v>
      </c>
    </row>
    <row r="950" spans="1:2" x14ac:dyDescent="0.3">
      <c r="A950">
        <v>29.7</v>
      </c>
      <c r="B950">
        <v>-44.47</v>
      </c>
    </row>
    <row r="951" spans="1:2" x14ac:dyDescent="0.3">
      <c r="A951">
        <v>29.7</v>
      </c>
      <c r="B951">
        <v>-45.11</v>
      </c>
    </row>
    <row r="952" spans="1:2" x14ac:dyDescent="0.3">
      <c r="A952">
        <v>29.75</v>
      </c>
      <c r="B952">
        <v>-45.11</v>
      </c>
    </row>
    <row r="953" spans="1:2" x14ac:dyDescent="0.3">
      <c r="A953">
        <v>29.75</v>
      </c>
      <c r="B953">
        <v>-44.22</v>
      </c>
    </row>
    <row r="954" spans="1:2" x14ac:dyDescent="0.3">
      <c r="A954">
        <v>29.8</v>
      </c>
      <c r="B954">
        <v>-44.22</v>
      </c>
    </row>
    <row r="955" spans="1:2" x14ac:dyDescent="0.3">
      <c r="A955">
        <v>29.8</v>
      </c>
      <c r="B955">
        <v>-44.37</v>
      </c>
    </row>
    <row r="956" spans="1:2" x14ac:dyDescent="0.3">
      <c r="A956">
        <v>29.85</v>
      </c>
      <c r="B956">
        <v>-44.37</v>
      </c>
    </row>
    <row r="957" spans="1:2" x14ac:dyDescent="0.3">
      <c r="A957">
        <v>29.85</v>
      </c>
      <c r="B957">
        <v>-45.09</v>
      </c>
    </row>
    <row r="958" spans="1:2" x14ac:dyDescent="0.3">
      <c r="A958">
        <v>29.9</v>
      </c>
      <c r="B958">
        <v>-45.09</v>
      </c>
    </row>
    <row r="959" spans="1:2" x14ac:dyDescent="0.3">
      <c r="A959">
        <v>29.9</v>
      </c>
      <c r="B959">
        <v>-43.74</v>
      </c>
    </row>
    <row r="960" spans="1:2" x14ac:dyDescent="0.3">
      <c r="A960">
        <v>29.95</v>
      </c>
      <c r="B960">
        <v>-43.74</v>
      </c>
    </row>
    <row r="961" spans="1:2" x14ac:dyDescent="0.3">
      <c r="A961">
        <v>29.95</v>
      </c>
      <c r="B961">
        <v>-44.04</v>
      </c>
    </row>
    <row r="962" spans="1:2" x14ac:dyDescent="0.3">
      <c r="A962">
        <v>30</v>
      </c>
      <c r="B962">
        <v>-44.04</v>
      </c>
    </row>
    <row r="963" spans="1:2" x14ac:dyDescent="0.3">
      <c r="A963">
        <v>30</v>
      </c>
      <c r="B963">
        <v>-44.88</v>
      </c>
    </row>
    <row r="964" spans="1:2" x14ac:dyDescent="0.3">
      <c r="A964">
        <v>30.05</v>
      </c>
      <c r="B964">
        <v>-44.88</v>
      </c>
    </row>
    <row r="965" spans="1:2" x14ac:dyDescent="0.3">
      <c r="A965">
        <v>30.05</v>
      </c>
      <c r="B965">
        <v>-43.76</v>
      </c>
    </row>
    <row r="966" spans="1:2" x14ac:dyDescent="0.3">
      <c r="A966">
        <v>30.1</v>
      </c>
      <c r="B966">
        <v>-43.76</v>
      </c>
    </row>
    <row r="967" spans="1:2" x14ac:dyDescent="0.3">
      <c r="A967">
        <v>30.1</v>
      </c>
      <c r="B967">
        <v>-43.35</v>
      </c>
    </row>
    <row r="968" spans="1:2" x14ac:dyDescent="0.3">
      <c r="A968">
        <v>30.15</v>
      </c>
      <c r="B968">
        <v>-43.35</v>
      </c>
    </row>
    <row r="969" spans="1:2" x14ac:dyDescent="0.3">
      <c r="A969">
        <v>30.15</v>
      </c>
      <c r="B969">
        <v>-43.83</v>
      </c>
    </row>
    <row r="970" spans="1:2" x14ac:dyDescent="0.3">
      <c r="A970">
        <v>30.2</v>
      </c>
      <c r="B970">
        <v>-43.83</v>
      </c>
    </row>
    <row r="971" spans="1:2" x14ac:dyDescent="0.3">
      <c r="A971">
        <v>30.2</v>
      </c>
      <c r="B971">
        <v>-42.23</v>
      </c>
    </row>
    <row r="972" spans="1:2" x14ac:dyDescent="0.3">
      <c r="A972">
        <v>30.25</v>
      </c>
      <c r="B972">
        <v>-42.23</v>
      </c>
    </row>
    <row r="973" spans="1:2" x14ac:dyDescent="0.3">
      <c r="A973">
        <v>30.25</v>
      </c>
      <c r="B973">
        <v>-42.37</v>
      </c>
    </row>
    <row r="974" spans="1:2" x14ac:dyDescent="0.3">
      <c r="A974">
        <v>30.3</v>
      </c>
      <c r="B974">
        <v>-42.37</v>
      </c>
    </row>
    <row r="975" spans="1:2" x14ac:dyDescent="0.3">
      <c r="A975">
        <v>30.3</v>
      </c>
      <c r="B975">
        <v>-43</v>
      </c>
    </row>
    <row r="976" spans="1:2" x14ac:dyDescent="0.3">
      <c r="A976">
        <v>30.35</v>
      </c>
      <c r="B976">
        <v>-43</v>
      </c>
    </row>
    <row r="977" spans="1:2" x14ac:dyDescent="0.3">
      <c r="A977">
        <v>30.35</v>
      </c>
      <c r="B977">
        <v>-43.85</v>
      </c>
    </row>
    <row r="978" spans="1:2" x14ac:dyDescent="0.3">
      <c r="A978">
        <v>30.4</v>
      </c>
      <c r="B978">
        <v>-43.85</v>
      </c>
    </row>
    <row r="979" spans="1:2" x14ac:dyDescent="0.3">
      <c r="A979">
        <v>30.4</v>
      </c>
      <c r="B979">
        <v>-43.12</v>
      </c>
    </row>
    <row r="980" spans="1:2" x14ac:dyDescent="0.3">
      <c r="A980">
        <v>30.45</v>
      </c>
      <c r="B980">
        <v>-43.12</v>
      </c>
    </row>
    <row r="981" spans="1:2" x14ac:dyDescent="0.3">
      <c r="A981">
        <v>30.45</v>
      </c>
      <c r="B981">
        <v>-43.65</v>
      </c>
    </row>
    <row r="982" spans="1:2" x14ac:dyDescent="0.3">
      <c r="A982">
        <v>30.5</v>
      </c>
      <c r="B982">
        <v>-43.65</v>
      </c>
    </row>
    <row r="983" spans="1:2" x14ac:dyDescent="0.3">
      <c r="A983">
        <v>30.5</v>
      </c>
      <c r="B983">
        <v>-44.24</v>
      </c>
    </row>
    <row r="984" spans="1:2" x14ac:dyDescent="0.3">
      <c r="A984">
        <v>30.55</v>
      </c>
      <c r="B984">
        <v>-44.24</v>
      </c>
    </row>
    <row r="985" spans="1:2" x14ac:dyDescent="0.3">
      <c r="A985">
        <v>30.55</v>
      </c>
      <c r="B985">
        <v>-44.21</v>
      </c>
    </row>
    <row r="986" spans="1:2" x14ac:dyDescent="0.3">
      <c r="A986">
        <v>30.6</v>
      </c>
      <c r="B986">
        <v>-44.21</v>
      </c>
    </row>
    <row r="987" spans="1:2" x14ac:dyDescent="0.3">
      <c r="A987">
        <v>30.6</v>
      </c>
      <c r="B987">
        <v>-43.66</v>
      </c>
    </row>
    <row r="988" spans="1:2" x14ac:dyDescent="0.3">
      <c r="A988">
        <v>30.65</v>
      </c>
      <c r="B988">
        <v>-43.66</v>
      </c>
    </row>
    <row r="989" spans="1:2" x14ac:dyDescent="0.3">
      <c r="A989">
        <v>30.65</v>
      </c>
      <c r="B989">
        <v>-43.89</v>
      </c>
    </row>
    <row r="990" spans="1:2" x14ac:dyDescent="0.3">
      <c r="A990">
        <v>30.7</v>
      </c>
      <c r="B990">
        <v>-43.89</v>
      </c>
    </row>
    <row r="991" spans="1:2" x14ac:dyDescent="0.3">
      <c r="A991">
        <v>30.7</v>
      </c>
      <c r="B991">
        <v>-43.58</v>
      </c>
    </row>
    <row r="992" spans="1:2" x14ac:dyDescent="0.3">
      <c r="A992">
        <v>30.75</v>
      </c>
      <c r="B992">
        <v>-43.58</v>
      </c>
    </row>
    <row r="993" spans="1:2" x14ac:dyDescent="0.3">
      <c r="A993">
        <v>30.75</v>
      </c>
      <c r="B993">
        <v>-43.28</v>
      </c>
    </row>
    <row r="994" spans="1:2" x14ac:dyDescent="0.3">
      <c r="A994">
        <v>30.8</v>
      </c>
      <c r="B994">
        <v>-43.28</v>
      </c>
    </row>
    <row r="995" spans="1:2" x14ac:dyDescent="0.3">
      <c r="A995">
        <v>30.8</v>
      </c>
      <c r="B995">
        <v>-44.29</v>
      </c>
    </row>
    <row r="996" spans="1:2" x14ac:dyDescent="0.3">
      <c r="A996">
        <v>30.85</v>
      </c>
      <c r="B996">
        <v>-44.29</v>
      </c>
    </row>
    <row r="997" spans="1:2" x14ac:dyDescent="0.3">
      <c r="A997">
        <v>30.85</v>
      </c>
      <c r="B997">
        <v>-44.13</v>
      </c>
    </row>
    <row r="998" spans="1:2" x14ac:dyDescent="0.3">
      <c r="A998">
        <v>30.9</v>
      </c>
      <c r="B998">
        <v>-44.13</v>
      </c>
    </row>
    <row r="999" spans="1:2" x14ac:dyDescent="0.3">
      <c r="A999">
        <v>30.9</v>
      </c>
      <c r="B999">
        <v>-43.22</v>
      </c>
    </row>
    <row r="1000" spans="1:2" x14ac:dyDescent="0.3">
      <c r="A1000">
        <v>30.95</v>
      </c>
      <c r="B1000">
        <v>-43.22</v>
      </c>
    </row>
    <row r="1001" spans="1:2" x14ac:dyDescent="0.3">
      <c r="A1001">
        <v>30.95</v>
      </c>
      <c r="B1001">
        <v>-43.74</v>
      </c>
    </row>
    <row r="1002" spans="1:2" x14ac:dyDescent="0.3">
      <c r="A1002">
        <v>31</v>
      </c>
      <c r="B1002">
        <v>-43.74</v>
      </c>
    </row>
    <row r="1003" spans="1:2" x14ac:dyDescent="0.3">
      <c r="A1003">
        <v>31</v>
      </c>
      <c r="B1003">
        <v>-44.21</v>
      </c>
    </row>
    <row r="1004" spans="1:2" x14ac:dyDescent="0.3">
      <c r="A1004">
        <v>31.05</v>
      </c>
      <c r="B1004">
        <v>-44.21</v>
      </c>
    </row>
    <row r="1005" spans="1:2" x14ac:dyDescent="0.3">
      <c r="A1005">
        <v>31.05</v>
      </c>
      <c r="B1005">
        <v>-43.46</v>
      </c>
    </row>
    <row r="1006" spans="1:2" x14ac:dyDescent="0.3">
      <c r="A1006">
        <v>31.1</v>
      </c>
      <c r="B1006">
        <v>-43.46</v>
      </c>
    </row>
    <row r="1007" spans="1:2" x14ac:dyDescent="0.3">
      <c r="A1007">
        <v>31.1</v>
      </c>
      <c r="B1007">
        <v>-43.08</v>
      </c>
    </row>
    <row r="1008" spans="1:2" x14ac:dyDescent="0.3">
      <c r="A1008">
        <v>31.15</v>
      </c>
      <c r="B1008">
        <v>-43.08</v>
      </c>
    </row>
    <row r="1009" spans="1:2" x14ac:dyDescent="0.3">
      <c r="A1009">
        <v>31.15</v>
      </c>
      <c r="B1009">
        <v>-44.4</v>
      </c>
    </row>
    <row r="1010" spans="1:2" x14ac:dyDescent="0.3">
      <c r="A1010">
        <v>31.2</v>
      </c>
      <c r="B1010">
        <v>-44.4</v>
      </c>
    </row>
    <row r="1011" spans="1:2" x14ac:dyDescent="0.3">
      <c r="A1011">
        <v>31.2</v>
      </c>
      <c r="B1011">
        <v>-43.69</v>
      </c>
    </row>
    <row r="1012" spans="1:2" x14ac:dyDescent="0.3">
      <c r="A1012">
        <v>31.25</v>
      </c>
      <c r="B1012">
        <v>-43.69</v>
      </c>
    </row>
    <row r="1013" spans="1:2" x14ac:dyDescent="0.3">
      <c r="A1013">
        <v>31.25</v>
      </c>
      <c r="B1013">
        <v>-44.02</v>
      </c>
    </row>
    <row r="1014" spans="1:2" x14ac:dyDescent="0.3">
      <c r="A1014">
        <v>31.3</v>
      </c>
      <c r="B1014">
        <v>-44.02</v>
      </c>
    </row>
    <row r="1015" spans="1:2" x14ac:dyDescent="0.3">
      <c r="A1015">
        <v>31.3</v>
      </c>
      <c r="B1015">
        <v>-43.95</v>
      </c>
    </row>
    <row r="1016" spans="1:2" x14ac:dyDescent="0.3">
      <c r="A1016">
        <v>31.35</v>
      </c>
      <c r="B1016">
        <v>-43.95</v>
      </c>
    </row>
    <row r="1017" spans="1:2" x14ac:dyDescent="0.3">
      <c r="A1017">
        <v>31.35</v>
      </c>
      <c r="B1017">
        <v>-43.09</v>
      </c>
    </row>
    <row r="1018" spans="1:2" x14ac:dyDescent="0.3">
      <c r="A1018">
        <v>31.4</v>
      </c>
      <c r="B1018">
        <v>-43.09</v>
      </c>
    </row>
    <row r="1019" spans="1:2" x14ac:dyDescent="0.3">
      <c r="A1019">
        <v>31.4</v>
      </c>
      <c r="B1019">
        <v>-43.68</v>
      </c>
    </row>
    <row r="1020" spans="1:2" x14ac:dyDescent="0.3">
      <c r="A1020">
        <v>31.45</v>
      </c>
      <c r="B1020">
        <v>-43.68</v>
      </c>
    </row>
    <row r="1021" spans="1:2" x14ac:dyDescent="0.3">
      <c r="A1021">
        <v>31.45</v>
      </c>
      <c r="B1021">
        <v>-43.39</v>
      </c>
    </row>
    <row r="1022" spans="1:2" x14ac:dyDescent="0.3">
      <c r="A1022">
        <v>31.5</v>
      </c>
      <c r="B1022">
        <v>-43.39</v>
      </c>
    </row>
    <row r="1023" spans="1:2" x14ac:dyDescent="0.3">
      <c r="A1023">
        <v>31.5</v>
      </c>
      <c r="B1023">
        <v>-44.07</v>
      </c>
    </row>
    <row r="1024" spans="1:2" x14ac:dyDescent="0.3">
      <c r="A1024">
        <v>31.55</v>
      </c>
      <c r="B1024">
        <v>-44.07</v>
      </c>
    </row>
    <row r="1025" spans="1:2" x14ac:dyDescent="0.3">
      <c r="A1025">
        <v>31.55</v>
      </c>
      <c r="B1025">
        <v>-43.65</v>
      </c>
    </row>
    <row r="1026" spans="1:2" x14ac:dyDescent="0.3">
      <c r="A1026">
        <v>31.6</v>
      </c>
      <c r="B1026">
        <v>-43.65</v>
      </c>
    </row>
    <row r="1027" spans="1:2" x14ac:dyDescent="0.3">
      <c r="A1027">
        <v>31.6</v>
      </c>
      <c r="B1027">
        <v>-43.96</v>
      </c>
    </row>
    <row r="1028" spans="1:2" x14ac:dyDescent="0.3">
      <c r="A1028">
        <v>31.65</v>
      </c>
      <c r="B1028">
        <v>-43.96</v>
      </c>
    </row>
    <row r="1029" spans="1:2" x14ac:dyDescent="0.3">
      <c r="A1029">
        <v>31.65</v>
      </c>
      <c r="B1029">
        <v>-43.4</v>
      </c>
    </row>
    <row r="1030" spans="1:2" x14ac:dyDescent="0.3">
      <c r="A1030">
        <v>31.7</v>
      </c>
      <c r="B1030">
        <v>-43.4</v>
      </c>
    </row>
    <row r="1031" spans="1:2" x14ac:dyDescent="0.3">
      <c r="A1031">
        <v>31.7</v>
      </c>
      <c r="B1031">
        <v>-43.57</v>
      </c>
    </row>
    <row r="1032" spans="1:2" x14ac:dyDescent="0.3">
      <c r="A1032">
        <v>31.75</v>
      </c>
      <c r="B1032">
        <v>-43.57</v>
      </c>
    </row>
    <row r="1033" spans="1:2" x14ac:dyDescent="0.3">
      <c r="A1033">
        <v>31.75</v>
      </c>
      <c r="B1033">
        <v>-41.55</v>
      </c>
    </row>
    <row r="1034" spans="1:2" x14ac:dyDescent="0.3">
      <c r="A1034">
        <v>31.8</v>
      </c>
      <c r="B1034">
        <v>-41.55</v>
      </c>
    </row>
    <row r="1035" spans="1:2" x14ac:dyDescent="0.3">
      <c r="A1035">
        <v>31.8</v>
      </c>
      <c r="B1035">
        <v>-41.7</v>
      </c>
    </row>
    <row r="1036" spans="1:2" x14ac:dyDescent="0.3">
      <c r="A1036">
        <v>31.85</v>
      </c>
      <c r="B1036">
        <v>-41.7</v>
      </c>
    </row>
    <row r="1037" spans="1:2" x14ac:dyDescent="0.3">
      <c r="A1037">
        <v>31.85</v>
      </c>
      <c r="B1037">
        <v>-40.61</v>
      </c>
    </row>
    <row r="1038" spans="1:2" x14ac:dyDescent="0.3">
      <c r="A1038">
        <v>31.9</v>
      </c>
      <c r="B1038">
        <v>-40.61</v>
      </c>
    </row>
    <row r="1039" spans="1:2" x14ac:dyDescent="0.3">
      <c r="A1039">
        <v>31.9</v>
      </c>
      <c r="B1039">
        <v>-40.299999999999997</v>
      </c>
    </row>
    <row r="1040" spans="1:2" x14ac:dyDescent="0.3">
      <c r="A1040">
        <v>31.95</v>
      </c>
      <c r="B1040">
        <v>-40.299999999999997</v>
      </c>
    </row>
    <row r="1041" spans="1:2" x14ac:dyDescent="0.3">
      <c r="A1041">
        <v>31.95</v>
      </c>
      <c r="B1041">
        <v>-40.43</v>
      </c>
    </row>
    <row r="1042" spans="1:2" x14ac:dyDescent="0.3">
      <c r="A1042">
        <v>32</v>
      </c>
      <c r="B1042">
        <v>-40.43</v>
      </c>
    </row>
    <row r="1043" spans="1:2" x14ac:dyDescent="0.3">
      <c r="A1043">
        <v>32</v>
      </c>
      <c r="B1043">
        <v>-40.4</v>
      </c>
    </row>
    <row r="1044" spans="1:2" x14ac:dyDescent="0.3">
      <c r="A1044">
        <v>32.049999999999997</v>
      </c>
      <c r="B1044">
        <v>-40.4</v>
      </c>
    </row>
    <row r="1045" spans="1:2" x14ac:dyDescent="0.3">
      <c r="A1045">
        <v>32.049999999999997</v>
      </c>
      <c r="B1045">
        <v>-39.94</v>
      </c>
    </row>
    <row r="1046" spans="1:2" x14ac:dyDescent="0.3">
      <c r="A1046">
        <v>32.1</v>
      </c>
      <c r="B1046">
        <v>-39.94</v>
      </c>
    </row>
    <row r="1047" spans="1:2" x14ac:dyDescent="0.3">
      <c r="A1047">
        <v>32.1</v>
      </c>
      <c r="B1047">
        <v>-39.880000000000003</v>
      </c>
    </row>
    <row r="1048" spans="1:2" x14ac:dyDescent="0.3">
      <c r="A1048">
        <v>32.15</v>
      </c>
      <c r="B1048">
        <v>-39.880000000000003</v>
      </c>
    </row>
    <row r="1049" spans="1:2" x14ac:dyDescent="0.3">
      <c r="A1049">
        <v>32.15</v>
      </c>
      <c r="B1049">
        <v>-38.92</v>
      </c>
    </row>
    <row r="1050" spans="1:2" x14ac:dyDescent="0.3">
      <c r="A1050">
        <v>32.200000000000003</v>
      </c>
      <c r="B1050">
        <v>-38.92</v>
      </c>
    </row>
    <row r="1051" spans="1:2" x14ac:dyDescent="0.3">
      <c r="A1051">
        <v>32.200000000000003</v>
      </c>
      <c r="B1051">
        <v>-42.28</v>
      </c>
    </row>
    <row r="1052" spans="1:2" x14ac:dyDescent="0.3">
      <c r="A1052">
        <v>32.25</v>
      </c>
      <c r="B1052">
        <v>-42.28</v>
      </c>
    </row>
    <row r="1053" spans="1:2" x14ac:dyDescent="0.3">
      <c r="A1053">
        <v>32.25</v>
      </c>
      <c r="B1053">
        <v>-43.91</v>
      </c>
    </row>
    <row r="1054" spans="1:2" x14ac:dyDescent="0.3">
      <c r="A1054">
        <v>32.299999999999997</v>
      </c>
      <c r="B1054">
        <v>-43.91</v>
      </c>
    </row>
    <row r="1055" spans="1:2" x14ac:dyDescent="0.3">
      <c r="A1055">
        <v>32.299999999999997</v>
      </c>
      <c r="B1055">
        <v>-43.81</v>
      </c>
    </row>
    <row r="1056" spans="1:2" x14ac:dyDescent="0.3">
      <c r="A1056">
        <v>32.35</v>
      </c>
      <c r="B1056">
        <v>-43.81</v>
      </c>
    </row>
    <row r="1057" spans="1:2" x14ac:dyDescent="0.3">
      <c r="A1057">
        <v>32.35</v>
      </c>
      <c r="B1057">
        <v>-44.18</v>
      </c>
    </row>
    <row r="1058" spans="1:2" x14ac:dyDescent="0.3">
      <c r="A1058">
        <v>32.4</v>
      </c>
      <c r="B1058">
        <v>-44.18</v>
      </c>
    </row>
    <row r="1059" spans="1:2" x14ac:dyDescent="0.3">
      <c r="A1059">
        <v>32.4</v>
      </c>
      <c r="B1059">
        <v>-44.26</v>
      </c>
    </row>
    <row r="1060" spans="1:2" x14ac:dyDescent="0.3">
      <c r="A1060">
        <v>32.450000000000003</v>
      </c>
      <c r="B1060">
        <v>-44.26</v>
      </c>
    </row>
    <row r="1061" spans="1:2" x14ac:dyDescent="0.3">
      <c r="A1061">
        <v>32.450000000000003</v>
      </c>
      <c r="B1061">
        <v>-43.77</v>
      </c>
    </row>
    <row r="1062" spans="1:2" x14ac:dyDescent="0.3">
      <c r="A1062">
        <v>32.5</v>
      </c>
      <c r="B1062">
        <v>-43.77</v>
      </c>
    </row>
    <row r="1063" spans="1:2" x14ac:dyDescent="0.3">
      <c r="A1063">
        <v>32.5</v>
      </c>
      <c r="B1063">
        <v>-44.17</v>
      </c>
    </row>
    <row r="1064" spans="1:2" x14ac:dyDescent="0.3">
      <c r="A1064">
        <v>32.549999999999997</v>
      </c>
      <c r="B1064">
        <v>-44.17</v>
      </c>
    </row>
    <row r="1065" spans="1:2" x14ac:dyDescent="0.3">
      <c r="A1065">
        <v>32.549999999999997</v>
      </c>
      <c r="B1065">
        <v>-44.69</v>
      </c>
    </row>
    <row r="1066" spans="1:2" x14ac:dyDescent="0.3">
      <c r="A1066">
        <v>32.6</v>
      </c>
      <c r="B1066">
        <v>-44.69</v>
      </c>
    </row>
    <row r="1067" spans="1:2" x14ac:dyDescent="0.3">
      <c r="A1067">
        <v>32.6</v>
      </c>
      <c r="B1067">
        <v>-45.14</v>
      </c>
    </row>
    <row r="1068" spans="1:2" x14ac:dyDescent="0.3">
      <c r="A1068">
        <v>32.65</v>
      </c>
      <c r="B1068">
        <v>-45.14</v>
      </c>
    </row>
    <row r="1069" spans="1:2" x14ac:dyDescent="0.3">
      <c r="A1069">
        <v>32.65</v>
      </c>
      <c r="B1069">
        <v>-43.84</v>
      </c>
    </row>
    <row r="1070" spans="1:2" x14ac:dyDescent="0.3">
      <c r="A1070">
        <v>32.700000000000003</v>
      </c>
      <c r="B1070">
        <v>-43.84</v>
      </c>
    </row>
    <row r="1071" spans="1:2" x14ac:dyDescent="0.3">
      <c r="A1071">
        <v>32.700000000000003</v>
      </c>
      <c r="B1071">
        <v>-42.97</v>
      </c>
    </row>
    <row r="1072" spans="1:2" x14ac:dyDescent="0.3">
      <c r="A1072">
        <v>32.75</v>
      </c>
      <c r="B1072">
        <v>-42.97</v>
      </c>
    </row>
    <row r="1073" spans="1:2" x14ac:dyDescent="0.3">
      <c r="A1073">
        <v>32.75</v>
      </c>
      <c r="B1073">
        <v>-43.48</v>
      </c>
    </row>
    <row r="1074" spans="1:2" x14ac:dyDescent="0.3">
      <c r="A1074">
        <v>32.799999999999997</v>
      </c>
      <c r="B1074">
        <v>-43.48</v>
      </c>
    </row>
    <row r="1075" spans="1:2" x14ac:dyDescent="0.3">
      <c r="A1075">
        <v>32.799999999999997</v>
      </c>
      <c r="B1075">
        <v>-43.68</v>
      </c>
    </row>
    <row r="1076" spans="1:2" x14ac:dyDescent="0.3">
      <c r="A1076">
        <v>32.85</v>
      </c>
      <c r="B1076">
        <v>-43.68</v>
      </c>
    </row>
    <row r="1077" spans="1:2" x14ac:dyDescent="0.3">
      <c r="A1077">
        <v>32.85</v>
      </c>
      <c r="B1077">
        <v>-43.81</v>
      </c>
    </row>
    <row r="1078" spans="1:2" x14ac:dyDescent="0.3">
      <c r="A1078">
        <v>32.9</v>
      </c>
      <c r="B1078">
        <v>-43.81</v>
      </c>
    </row>
    <row r="1079" spans="1:2" x14ac:dyDescent="0.3">
      <c r="A1079">
        <v>32.9</v>
      </c>
      <c r="B1079">
        <v>-43.26</v>
      </c>
    </row>
    <row r="1080" spans="1:2" x14ac:dyDescent="0.3">
      <c r="A1080">
        <v>32.950000000000003</v>
      </c>
      <c r="B1080">
        <v>-43.26</v>
      </c>
    </row>
    <row r="1081" spans="1:2" x14ac:dyDescent="0.3">
      <c r="A1081">
        <v>32.950000000000003</v>
      </c>
      <c r="B1081">
        <v>-43.21</v>
      </c>
    </row>
    <row r="1082" spans="1:2" x14ac:dyDescent="0.3">
      <c r="A1082">
        <v>33</v>
      </c>
      <c r="B1082">
        <v>-43.21</v>
      </c>
    </row>
    <row r="1083" spans="1:2" x14ac:dyDescent="0.3">
      <c r="A1083">
        <v>33</v>
      </c>
      <c r="B1083">
        <v>-43.56</v>
      </c>
    </row>
    <row r="1084" spans="1:2" x14ac:dyDescent="0.3">
      <c r="A1084">
        <v>33.049999999999997</v>
      </c>
      <c r="B1084">
        <v>-43.56</v>
      </c>
    </row>
    <row r="1085" spans="1:2" x14ac:dyDescent="0.3">
      <c r="A1085">
        <v>33.049999999999997</v>
      </c>
      <c r="B1085">
        <v>-44.19</v>
      </c>
    </row>
    <row r="1086" spans="1:2" x14ac:dyDescent="0.3">
      <c r="A1086">
        <v>33.1</v>
      </c>
      <c r="B1086">
        <v>-44.19</v>
      </c>
    </row>
    <row r="1087" spans="1:2" x14ac:dyDescent="0.3">
      <c r="A1087">
        <v>33.1</v>
      </c>
      <c r="B1087">
        <v>-43.14</v>
      </c>
    </row>
    <row r="1088" spans="1:2" x14ac:dyDescent="0.3">
      <c r="A1088">
        <v>33.15</v>
      </c>
      <c r="B1088">
        <v>-43.14</v>
      </c>
    </row>
    <row r="1089" spans="1:2" x14ac:dyDescent="0.3">
      <c r="A1089">
        <v>33.15</v>
      </c>
      <c r="B1089">
        <v>-41.1</v>
      </c>
    </row>
    <row r="1090" spans="1:2" x14ac:dyDescent="0.3">
      <c r="A1090">
        <v>33.200000000000003</v>
      </c>
      <c r="B1090">
        <v>-41.1</v>
      </c>
    </row>
    <row r="1091" spans="1:2" x14ac:dyDescent="0.3">
      <c r="A1091">
        <v>33.200000000000003</v>
      </c>
      <c r="B1091">
        <v>-40.380000000000003</v>
      </c>
    </row>
    <row r="1092" spans="1:2" x14ac:dyDescent="0.3">
      <c r="A1092">
        <v>33.25</v>
      </c>
      <c r="B1092">
        <v>-40.380000000000003</v>
      </c>
    </row>
    <row r="1093" spans="1:2" x14ac:dyDescent="0.3">
      <c r="A1093">
        <v>33.25</v>
      </c>
      <c r="B1093">
        <v>-39.92</v>
      </c>
    </row>
    <row r="1094" spans="1:2" x14ac:dyDescent="0.3">
      <c r="A1094">
        <v>33.299999999999997</v>
      </c>
      <c r="B1094">
        <v>-39.92</v>
      </c>
    </row>
    <row r="1095" spans="1:2" x14ac:dyDescent="0.3">
      <c r="A1095">
        <v>33.299999999999997</v>
      </c>
      <c r="B1095">
        <v>-39.659999999999997</v>
      </c>
    </row>
    <row r="1096" spans="1:2" x14ac:dyDescent="0.3">
      <c r="A1096">
        <v>33.35</v>
      </c>
      <c r="B1096">
        <v>-39.659999999999997</v>
      </c>
    </row>
    <row r="1097" spans="1:2" x14ac:dyDescent="0.3">
      <c r="A1097">
        <v>33.35</v>
      </c>
      <c r="B1097">
        <v>-39.82</v>
      </c>
    </row>
    <row r="1098" spans="1:2" x14ac:dyDescent="0.3">
      <c r="A1098">
        <v>33.4</v>
      </c>
      <c r="B1098">
        <v>-39.82</v>
      </c>
    </row>
    <row r="1099" spans="1:2" x14ac:dyDescent="0.3">
      <c r="A1099">
        <v>33.4</v>
      </c>
      <c r="B1099">
        <v>-39.78</v>
      </c>
    </row>
    <row r="1100" spans="1:2" x14ac:dyDescent="0.3">
      <c r="A1100">
        <v>33.450000000000003</v>
      </c>
      <c r="B1100">
        <v>-39.78</v>
      </c>
    </row>
    <row r="1101" spans="1:2" x14ac:dyDescent="0.3">
      <c r="A1101">
        <v>33.450000000000003</v>
      </c>
      <c r="B1101">
        <v>-39.03</v>
      </c>
    </row>
    <row r="1102" spans="1:2" x14ac:dyDescent="0.3">
      <c r="A1102">
        <v>33.5</v>
      </c>
      <c r="B1102">
        <v>-39.03</v>
      </c>
    </row>
    <row r="1103" spans="1:2" x14ac:dyDescent="0.3">
      <c r="A1103">
        <v>33.5</v>
      </c>
      <c r="B1103">
        <v>-41.04</v>
      </c>
    </row>
    <row r="1104" spans="1:2" x14ac:dyDescent="0.3">
      <c r="A1104">
        <v>33.549999999999997</v>
      </c>
      <c r="B1104">
        <v>-41.04</v>
      </c>
    </row>
    <row r="1105" spans="1:2" x14ac:dyDescent="0.3">
      <c r="A1105">
        <v>33.549999999999997</v>
      </c>
      <c r="B1105">
        <v>-41.91</v>
      </c>
    </row>
    <row r="1106" spans="1:2" x14ac:dyDescent="0.3">
      <c r="A1106">
        <v>33.6</v>
      </c>
      <c r="B1106">
        <v>-41.91</v>
      </c>
    </row>
    <row r="1107" spans="1:2" x14ac:dyDescent="0.3">
      <c r="A1107">
        <v>33.6</v>
      </c>
      <c r="B1107">
        <v>-42.7</v>
      </c>
    </row>
    <row r="1108" spans="1:2" x14ac:dyDescent="0.3">
      <c r="A1108">
        <v>33.65</v>
      </c>
      <c r="B1108">
        <v>-42.7</v>
      </c>
    </row>
    <row r="1109" spans="1:2" x14ac:dyDescent="0.3">
      <c r="A1109">
        <v>33.65</v>
      </c>
      <c r="B1109">
        <v>-42.73</v>
      </c>
    </row>
    <row r="1110" spans="1:2" x14ac:dyDescent="0.3">
      <c r="A1110">
        <v>33.700000000000003</v>
      </c>
      <c r="B1110">
        <v>-42.73</v>
      </c>
    </row>
    <row r="1111" spans="1:2" x14ac:dyDescent="0.3">
      <c r="A1111">
        <v>33.700000000000003</v>
      </c>
      <c r="B1111">
        <v>-43.26</v>
      </c>
    </row>
    <row r="1112" spans="1:2" x14ac:dyDescent="0.3">
      <c r="A1112">
        <v>33.75</v>
      </c>
      <c r="B1112">
        <v>-43.26</v>
      </c>
    </row>
    <row r="1113" spans="1:2" x14ac:dyDescent="0.3">
      <c r="A1113">
        <v>33.75</v>
      </c>
      <c r="B1113">
        <v>-43.32</v>
      </c>
    </row>
    <row r="1114" spans="1:2" x14ac:dyDescent="0.3">
      <c r="A1114">
        <v>33.799999999999997</v>
      </c>
      <c r="B1114">
        <v>-43.32</v>
      </c>
    </row>
    <row r="1115" spans="1:2" x14ac:dyDescent="0.3">
      <c r="A1115">
        <v>33.799999999999997</v>
      </c>
      <c r="B1115">
        <v>-42.49</v>
      </c>
    </row>
    <row r="1116" spans="1:2" x14ac:dyDescent="0.3">
      <c r="A1116">
        <v>33.85</v>
      </c>
      <c r="B1116">
        <v>-42.49</v>
      </c>
    </row>
    <row r="1117" spans="1:2" x14ac:dyDescent="0.3">
      <c r="A1117">
        <v>33.85</v>
      </c>
      <c r="B1117">
        <v>-42.92</v>
      </c>
    </row>
    <row r="1118" spans="1:2" x14ac:dyDescent="0.3">
      <c r="A1118">
        <v>33.9</v>
      </c>
      <c r="B1118">
        <v>-42.92</v>
      </c>
    </row>
    <row r="1119" spans="1:2" x14ac:dyDescent="0.3">
      <c r="A1119">
        <v>33.9</v>
      </c>
      <c r="B1119">
        <v>-42.72</v>
      </c>
    </row>
    <row r="1120" spans="1:2" x14ac:dyDescent="0.3">
      <c r="A1120">
        <v>33.950000000000003</v>
      </c>
      <c r="B1120">
        <v>-42.72</v>
      </c>
    </row>
    <row r="1121" spans="1:2" x14ac:dyDescent="0.3">
      <c r="A1121">
        <v>33.950000000000003</v>
      </c>
      <c r="B1121">
        <v>-42.85</v>
      </c>
    </row>
    <row r="1122" spans="1:2" x14ac:dyDescent="0.3">
      <c r="A1122">
        <v>34</v>
      </c>
      <c r="B1122">
        <v>-42.85</v>
      </c>
    </row>
    <row r="1123" spans="1:2" x14ac:dyDescent="0.3">
      <c r="A1123">
        <v>34</v>
      </c>
      <c r="B1123">
        <v>-42.59</v>
      </c>
    </row>
    <row r="1124" spans="1:2" x14ac:dyDescent="0.3">
      <c r="A1124">
        <v>34.049999999999997</v>
      </c>
      <c r="B1124">
        <v>-42.59</v>
      </c>
    </row>
    <row r="1125" spans="1:2" x14ac:dyDescent="0.3">
      <c r="A1125">
        <v>34.049999999999997</v>
      </c>
      <c r="B1125">
        <v>-43.38</v>
      </c>
    </row>
    <row r="1126" spans="1:2" x14ac:dyDescent="0.3">
      <c r="A1126">
        <v>34.1</v>
      </c>
      <c r="B1126">
        <v>-43.38</v>
      </c>
    </row>
    <row r="1127" spans="1:2" x14ac:dyDescent="0.3">
      <c r="A1127">
        <v>34.1</v>
      </c>
      <c r="B1127">
        <v>-43.09</v>
      </c>
    </row>
    <row r="1128" spans="1:2" x14ac:dyDescent="0.3">
      <c r="A1128">
        <v>34.15</v>
      </c>
      <c r="B1128">
        <v>-43.09</v>
      </c>
    </row>
    <row r="1129" spans="1:2" x14ac:dyDescent="0.3">
      <c r="A1129">
        <v>34.15</v>
      </c>
      <c r="B1129">
        <v>-42.81</v>
      </c>
    </row>
    <row r="1130" spans="1:2" x14ac:dyDescent="0.3">
      <c r="A1130">
        <v>34.200000000000003</v>
      </c>
      <c r="B1130">
        <v>-42.81</v>
      </c>
    </row>
    <row r="1131" spans="1:2" x14ac:dyDescent="0.3">
      <c r="A1131">
        <v>34.200000000000003</v>
      </c>
      <c r="B1131">
        <v>-42.61</v>
      </c>
    </row>
    <row r="1132" spans="1:2" x14ac:dyDescent="0.3">
      <c r="A1132">
        <v>34.25</v>
      </c>
      <c r="B1132">
        <v>-42.61</v>
      </c>
    </row>
    <row r="1133" spans="1:2" x14ac:dyDescent="0.3">
      <c r="A1133">
        <v>34.25</v>
      </c>
      <c r="B1133">
        <v>-42.97</v>
      </c>
    </row>
    <row r="1134" spans="1:2" x14ac:dyDescent="0.3">
      <c r="A1134">
        <v>34.299999999999997</v>
      </c>
      <c r="B1134">
        <v>-42.97</v>
      </c>
    </row>
    <row r="1135" spans="1:2" x14ac:dyDescent="0.3">
      <c r="A1135">
        <v>34.299999999999997</v>
      </c>
      <c r="B1135">
        <v>-43.38</v>
      </c>
    </row>
    <row r="1136" spans="1:2" x14ac:dyDescent="0.3">
      <c r="A1136">
        <v>34.35</v>
      </c>
      <c r="B1136">
        <v>-43.38</v>
      </c>
    </row>
    <row r="1137" spans="1:2" x14ac:dyDescent="0.3">
      <c r="A1137">
        <v>34.35</v>
      </c>
      <c r="B1137">
        <v>-42.98</v>
      </c>
    </row>
    <row r="1138" spans="1:2" x14ac:dyDescent="0.3">
      <c r="A1138">
        <v>34.4</v>
      </c>
      <c r="B1138">
        <v>-42.98</v>
      </c>
    </row>
    <row r="1139" spans="1:2" x14ac:dyDescent="0.3">
      <c r="A1139">
        <v>34.4</v>
      </c>
      <c r="B1139">
        <v>-41.93</v>
      </c>
    </row>
    <row r="1140" spans="1:2" x14ac:dyDescent="0.3">
      <c r="A1140">
        <v>34.450000000000003</v>
      </c>
      <c r="B1140">
        <v>-41.93</v>
      </c>
    </row>
    <row r="1141" spans="1:2" x14ac:dyDescent="0.3">
      <c r="A1141">
        <v>34.450000000000003</v>
      </c>
      <c r="B1141">
        <v>-42.2</v>
      </c>
    </row>
    <row r="1142" spans="1:2" x14ac:dyDescent="0.3">
      <c r="A1142">
        <v>34.5</v>
      </c>
      <c r="B1142">
        <v>-42.2</v>
      </c>
    </row>
    <row r="1143" spans="1:2" x14ac:dyDescent="0.3">
      <c r="A1143">
        <v>34.5</v>
      </c>
      <c r="B1143">
        <v>-40.049999999999997</v>
      </c>
    </row>
    <row r="1144" spans="1:2" x14ac:dyDescent="0.3">
      <c r="A1144">
        <v>34.549999999999997</v>
      </c>
      <c r="B1144">
        <v>-40.049999999999997</v>
      </c>
    </row>
    <row r="1145" spans="1:2" x14ac:dyDescent="0.3">
      <c r="A1145">
        <v>34.549999999999997</v>
      </c>
      <c r="B1145">
        <v>-40.5</v>
      </c>
    </row>
    <row r="1146" spans="1:2" x14ac:dyDescent="0.3">
      <c r="A1146">
        <v>34.6</v>
      </c>
      <c r="B1146">
        <v>-40.5</v>
      </c>
    </row>
    <row r="1147" spans="1:2" x14ac:dyDescent="0.3">
      <c r="A1147">
        <v>34.6</v>
      </c>
      <c r="B1147">
        <v>-40.4</v>
      </c>
    </row>
    <row r="1148" spans="1:2" x14ac:dyDescent="0.3">
      <c r="A1148">
        <v>34.65</v>
      </c>
      <c r="B1148">
        <v>-40.4</v>
      </c>
    </row>
    <row r="1149" spans="1:2" x14ac:dyDescent="0.3">
      <c r="A1149">
        <v>34.65</v>
      </c>
      <c r="B1149">
        <v>-40.770000000000003</v>
      </c>
    </row>
    <row r="1150" spans="1:2" x14ac:dyDescent="0.3">
      <c r="A1150">
        <v>34.700000000000003</v>
      </c>
      <c r="B1150">
        <v>-40.770000000000003</v>
      </c>
    </row>
    <row r="1151" spans="1:2" x14ac:dyDescent="0.3">
      <c r="A1151">
        <v>34.700000000000003</v>
      </c>
      <c r="B1151">
        <v>-41.17</v>
      </c>
    </row>
    <row r="1152" spans="1:2" x14ac:dyDescent="0.3">
      <c r="A1152">
        <v>34.75</v>
      </c>
      <c r="B1152">
        <v>-41.17</v>
      </c>
    </row>
    <row r="1153" spans="1:2" x14ac:dyDescent="0.3">
      <c r="A1153">
        <v>34.75</v>
      </c>
      <c r="B1153">
        <v>-40.99</v>
      </c>
    </row>
    <row r="1154" spans="1:2" x14ac:dyDescent="0.3">
      <c r="A1154">
        <v>34.799999999999997</v>
      </c>
      <c r="B1154">
        <v>-40.99</v>
      </c>
    </row>
    <row r="1155" spans="1:2" x14ac:dyDescent="0.3">
      <c r="A1155">
        <v>34.799999999999997</v>
      </c>
      <c r="B1155">
        <v>-40.299999999999997</v>
      </c>
    </row>
    <row r="1156" spans="1:2" x14ac:dyDescent="0.3">
      <c r="A1156">
        <v>34.85</v>
      </c>
      <c r="B1156">
        <v>-40.299999999999997</v>
      </c>
    </row>
    <row r="1157" spans="1:2" x14ac:dyDescent="0.3">
      <c r="A1157">
        <v>34.85</v>
      </c>
      <c r="B1157">
        <v>-39.35</v>
      </c>
    </row>
    <row r="1158" spans="1:2" x14ac:dyDescent="0.3">
      <c r="A1158">
        <v>34.9</v>
      </c>
      <c r="B1158">
        <v>-39.35</v>
      </c>
    </row>
    <row r="1159" spans="1:2" x14ac:dyDescent="0.3">
      <c r="A1159">
        <v>34.9</v>
      </c>
      <c r="B1159">
        <v>-40.17</v>
      </c>
    </row>
    <row r="1160" spans="1:2" x14ac:dyDescent="0.3">
      <c r="A1160">
        <v>34.950000000000003</v>
      </c>
      <c r="B1160">
        <v>-40.17</v>
      </c>
    </row>
    <row r="1161" spans="1:2" x14ac:dyDescent="0.3">
      <c r="A1161">
        <v>34.950000000000003</v>
      </c>
      <c r="B1161">
        <v>-39.67</v>
      </c>
    </row>
    <row r="1162" spans="1:2" x14ac:dyDescent="0.3">
      <c r="A1162">
        <v>35</v>
      </c>
      <c r="B1162">
        <v>-39.67</v>
      </c>
    </row>
    <row r="1163" spans="1:2" x14ac:dyDescent="0.3">
      <c r="A1163">
        <v>35</v>
      </c>
      <c r="B1163">
        <v>-39.799999999999997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92E5-EB60-4833-B959-FB55B7E6242D}">
  <dimension ref="A1:BL90"/>
  <sheetViews>
    <sheetView workbookViewId="0">
      <selection sqref="A1:XFD1048576"/>
    </sheetView>
  </sheetViews>
  <sheetFormatPr defaultRowHeight="14.4" x14ac:dyDescent="0.3"/>
  <sheetData>
    <row r="1" spans="1:64" x14ac:dyDescent="0.3">
      <c r="A1" t="s">
        <v>560</v>
      </c>
      <c r="B1" t="s">
        <v>561</v>
      </c>
      <c r="C1" t="s">
        <v>562</v>
      </c>
      <c r="D1" t="s">
        <v>563</v>
      </c>
      <c r="E1" t="s">
        <v>103</v>
      </c>
      <c r="F1" t="s">
        <v>564</v>
      </c>
      <c r="G1" t="s">
        <v>565</v>
      </c>
      <c r="H1" t="s">
        <v>566</v>
      </c>
      <c r="I1" t="s">
        <v>567</v>
      </c>
      <c r="J1" t="s">
        <v>119</v>
      </c>
      <c r="K1" t="s">
        <v>568</v>
      </c>
      <c r="L1" t="s">
        <v>569</v>
      </c>
      <c r="M1" t="s">
        <v>570</v>
      </c>
      <c r="N1" t="s">
        <v>571</v>
      </c>
      <c r="O1" t="s">
        <v>572</v>
      </c>
      <c r="P1" t="s">
        <v>573</v>
      </c>
      <c r="Q1" t="s">
        <v>574</v>
      </c>
      <c r="R1" t="s">
        <v>575</v>
      </c>
      <c r="S1" t="s">
        <v>576</v>
      </c>
      <c r="T1" t="s">
        <v>577</v>
      </c>
      <c r="U1" t="s">
        <v>578</v>
      </c>
      <c r="V1" t="s">
        <v>579</v>
      </c>
      <c r="W1" t="s">
        <v>95</v>
      </c>
      <c r="X1" t="s">
        <v>580</v>
      </c>
      <c r="Y1" t="s">
        <v>581</v>
      </c>
      <c r="Z1" t="s">
        <v>582</v>
      </c>
      <c r="AA1" t="s">
        <v>583</v>
      </c>
      <c r="AB1" t="s">
        <v>102</v>
      </c>
      <c r="AC1" t="s">
        <v>584</v>
      </c>
      <c r="AD1" t="s">
        <v>585</v>
      </c>
      <c r="AE1" t="s">
        <v>586</v>
      </c>
      <c r="AF1" t="s">
        <v>587</v>
      </c>
      <c r="AG1" t="s">
        <v>588</v>
      </c>
      <c r="AH1" t="s">
        <v>589</v>
      </c>
      <c r="AI1" t="s">
        <v>590</v>
      </c>
      <c r="AJ1" t="s">
        <v>591</v>
      </c>
      <c r="AK1" t="s">
        <v>592</v>
      </c>
      <c r="AL1" t="s">
        <v>593</v>
      </c>
      <c r="AM1" t="s">
        <v>594</v>
      </c>
      <c r="AN1" t="s">
        <v>595</v>
      </c>
      <c r="AO1" t="s">
        <v>596</v>
      </c>
      <c r="AP1" t="s">
        <v>597</v>
      </c>
      <c r="AQ1" t="s">
        <v>598</v>
      </c>
      <c r="AR1" t="s">
        <v>599</v>
      </c>
      <c r="AS1" t="s">
        <v>100</v>
      </c>
      <c r="AT1" t="s">
        <v>600</v>
      </c>
      <c r="AU1" t="s">
        <v>601</v>
      </c>
      <c r="AV1" t="s">
        <v>602</v>
      </c>
      <c r="AW1" t="s">
        <v>603</v>
      </c>
      <c r="AX1" t="s">
        <v>604</v>
      </c>
      <c r="AY1" t="s">
        <v>605</v>
      </c>
      <c r="AZ1" t="s">
        <v>606</v>
      </c>
      <c r="BA1" t="s">
        <v>607</v>
      </c>
      <c r="BB1" t="s">
        <v>608</v>
      </c>
      <c r="BC1" t="s">
        <v>436</v>
      </c>
      <c r="BD1" t="s">
        <v>609</v>
      </c>
      <c r="BE1" t="s">
        <v>610</v>
      </c>
      <c r="BF1" t="s">
        <v>611</v>
      </c>
      <c r="BG1" t="s">
        <v>120</v>
      </c>
      <c r="BH1" t="s">
        <v>612</v>
      </c>
      <c r="BI1" t="s">
        <v>613</v>
      </c>
      <c r="BJ1" t="s">
        <v>614</v>
      </c>
      <c r="BK1" t="s">
        <v>615</v>
      </c>
      <c r="BL1" t="s">
        <v>616</v>
      </c>
    </row>
    <row r="2" spans="1:64" x14ac:dyDescent="0.3">
      <c r="A2">
        <v>969.64290000000005</v>
      </c>
      <c r="C2">
        <v>9</v>
      </c>
      <c r="D2">
        <v>7</v>
      </c>
      <c r="G2">
        <v>3</v>
      </c>
      <c r="I2">
        <v>15</v>
      </c>
      <c r="J2">
        <v>11</v>
      </c>
      <c r="K2">
        <v>11</v>
      </c>
      <c r="L2">
        <v>11</v>
      </c>
      <c r="O2">
        <v>3</v>
      </c>
      <c r="Q2">
        <v>4</v>
      </c>
      <c r="R2">
        <v>13</v>
      </c>
      <c r="U2">
        <v>40</v>
      </c>
      <c r="V2">
        <v>9</v>
      </c>
      <c r="W2">
        <v>14</v>
      </c>
      <c r="X2">
        <v>5</v>
      </c>
      <c r="AA2">
        <v>49</v>
      </c>
      <c r="AB2">
        <v>12</v>
      </c>
      <c r="AC2">
        <v>105</v>
      </c>
      <c r="AD2">
        <v>6</v>
      </c>
      <c r="AK2">
        <v>6</v>
      </c>
      <c r="AL2">
        <v>1</v>
      </c>
      <c r="AN2">
        <v>3</v>
      </c>
      <c r="AO2">
        <v>36</v>
      </c>
      <c r="AQ2">
        <v>9</v>
      </c>
      <c r="AR2">
        <v>4</v>
      </c>
      <c r="AS2">
        <v>80</v>
      </c>
      <c r="AV2">
        <v>7</v>
      </c>
      <c r="AY2">
        <v>11</v>
      </c>
      <c r="BA2">
        <v>30</v>
      </c>
      <c r="BB2">
        <v>90</v>
      </c>
      <c r="BD2">
        <v>5</v>
      </c>
      <c r="BF2">
        <v>4</v>
      </c>
      <c r="BH2">
        <v>5</v>
      </c>
      <c r="BK2">
        <v>6</v>
      </c>
      <c r="BL2">
        <v>5</v>
      </c>
    </row>
    <row r="3" spans="1:64" x14ac:dyDescent="0.3">
      <c r="A3">
        <v>1016.4640000000001</v>
      </c>
      <c r="C3">
        <v>7</v>
      </c>
      <c r="G3">
        <v>4</v>
      </c>
      <c r="I3">
        <v>5</v>
      </c>
      <c r="J3">
        <v>12</v>
      </c>
      <c r="K3">
        <v>11</v>
      </c>
      <c r="L3">
        <v>9</v>
      </c>
      <c r="O3">
        <v>3</v>
      </c>
      <c r="R3">
        <v>12</v>
      </c>
      <c r="U3">
        <v>45</v>
      </c>
      <c r="V3">
        <v>5</v>
      </c>
      <c r="W3">
        <v>11</v>
      </c>
      <c r="X3">
        <v>6</v>
      </c>
      <c r="AA3">
        <v>45</v>
      </c>
      <c r="AB3">
        <v>14</v>
      </c>
      <c r="AC3">
        <v>100</v>
      </c>
      <c r="AD3">
        <v>6</v>
      </c>
      <c r="AE3">
        <v>7</v>
      </c>
      <c r="AO3">
        <v>33</v>
      </c>
      <c r="AQ3">
        <v>7</v>
      </c>
      <c r="AS3">
        <v>99</v>
      </c>
      <c r="AT3">
        <v>2</v>
      </c>
      <c r="AV3">
        <v>6</v>
      </c>
      <c r="AY3">
        <v>14</v>
      </c>
      <c r="BA3">
        <v>32</v>
      </c>
      <c r="BB3">
        <v>98</v>
      </c>
      <c r="BD3">
        <v>4</v>
      </c>
      <c r="BF3">
        <v>5</v>
      </c>
      <c r="BK3">
        <v>12</v>
      </c>
      <c r="BL3">
        <v>4</v>
      </c>
    </row>
    <row r="4" spans="1:64" x14ac:dyDescent="0.3">
      <c r="A4">
        <v>1063.2860000000001</v>
      </c>
      <c r="C4">
        <v>9</v>
      </c>
      <c r="I4">
        <v>6</v>
      </c>
      <c r="J4">
        <v>14</v>
      </c>
      <c r="K4">
        <v>8</v>
      </c>
      <c r="L4">
        <v>8</v>
      </c>
      <c r="O4">
        <v>5</v>
      </c>
      <c r="R4">
        <v>11</v>
      </c>
      <c r="T4">
        <v>4</v>
      </c>
      <c r="U4">
        <v>50</v>
      </c>
      <c r="V4">
        <v>9</v>
      </c>
      <c r="W4">
        <v>23</v>
      </c>
      <c r="X4">
        <v>7</v>
      </c>
      <c r="AA4">
        <v>43</v>
      </c>
      <c r="AB4">
        <v>12</v>
      </c>
      <c r="AC4">
        <v>102</v>
      </c>
      <c r="AD4">
        <v>9</v>
      </c>
      <c r="AE4">
        <v>5</v>
      </c>
      <c r="AO4">
        <v>39</v>
      </c>
      <c r="AQ4">
        <v>9</v>
      </c>
      <c r="AS4">
        <v>100</v>
      </c>
      <c r="AT4">
        <v>3</v>
      </c>
      <c r="AV4">
        <v>5</v>
      </c>
      <c r="AY4">
        <v>11</v>
      </c>
      <c r="BA4">
        <v>31</v>
      </c>
      <c r="BB4">
        <v>99</v>
      </c>
      <c r="BC4">
        <v>3</v>
      </c>
      <c r="BD4">
        <v>6</v>
      </c>
      <c r="BF4">
        <v>2</v>
      </c>
      <c r="BK4">
        <v>11</v>
      </c>
      <c r="BL4">
        <v>8</v>
      </c>
    </row>
    <row r="5" spans="1:64" x14ac:dyDescent="0.3">
      <c r="A5">
        <v>1110.107</v>
      </c>
      <c r="C5">
        <v>11</v>
      </c>
      <c r="D5">
        <v>7</v>
      </c>
      <c r="I5">
        <v>9</v>
      </c>
      <c r="J5">
        <v>9</v>
      </c>
      <c r="K5">
        <v>9</v>
      </c>
      <c r="L5">
        <v>9</v>
      </c>
      <c r="R5">
        <v>9</v>
      </c>
      <c r="T5">
        <v>8</v>
      </c>
      <c r="U5">
        <v>55</v>
      </c>
      <c r="V5">
        <v>11</v>
      </c>
      <c r="W5">
        <v>32</v>
      </c>
      <c r="X5">
        <v>9</v>
      </c>
      <c r="AA5">
        <v>40</v>
      </c>
      <c r="AB5">
        <v>20</v>
      </c>
      <c r="AC5">
        <v>100</v>
      </c>
      <c r="AD5">
        <v>9</v>
      </c>
      <c r="AE5">
        <v>4</v>
      </c>
      <c r="AO5">
        <v>40</v>
      </c>
      <c r="AQ5">
        <v>8</v>
      </c>
      <c r="AS5">
        <v>97</v>
      </c>
      <c r="AV5">
        <v>8</v>
      </c>
      <c r="AY5">
        <v>12</v>
      </c>
      <c r="BA5">
        <v>27</v>
      </c>
      <c r="BB5">
        <v>96</v>
      </c>
      <c r="BC5">
        <v>7</v>
      </c>
      <c r="BD5">
        <v>8</v>
      </c>
      <c r="BF5">
        <v>6</v>
      </c>
      <c r="BH5">
        <v>6</v>
      </c>
      <c r="BK5">
        <v>8</v>
      </c>
    </row>
    <row r="6" spans="1:64" x14ac:dyDescent="0.3">
      <c r="A6">
        <v>1156.9290000000001</v>
      </c>
      <c r="C6">
        <v>8</v>
      </c>
      <c r="I6">
        <v>7</v>
      </c>
      <c r="J6">
        <v>11</v>
      </c>
      <c r="K6">
        <v>5</v>
      </c>
      <c r="L6">
        <v>3</v>
      </c>
      <c r="R6">
        <v>12</v>
      </c>
      <c r="T6">
        <v>3</v>
      </c>
      <c r="U6">
        <v>57</v>
      </c>
      <c r="V6">
        <v>6</v>
      </c>
      <c r="W6">
        <v>37</v>
      </c>
      <c r="X6">
        <v>5</v>
      </c>
      <c r="AA6">
        <v>37</v>
      </c>
      <c r="AB6">
        <v>25</v>
      </c>
      <c r="AC6">
        <v>96</v>
      </c>
      <c r="AD6">
        <v>7</v>
      </c>
      <c r="AE6">
        <v>17</v>
      </c>
      <c r="AO6">
        <v>42</v>
      </c>
      <c r="AS6">
        <v>87</v>
      </c>
      <c r="AV6">
        <v>6</v>
      </c>
      <c r="AY6">
        <v>10</v>
      </c>
      <c r="BA6">
        <v>20</v>
      </c>
      <c r="BB6">
        <v>93</v>
      </c>
      <c r="BC6">
        <v>5</v>
      </c>
      <c r="BD6">
        <v>5</v>
      </c>
      <c r="BK6">
        <v>2</v>
      </c>
    </row>
    <row r="7" spans="1:64" x14ac:dyDescent="0.3">
      <c r="A7">
        <v>1203.75</v>
      </c>
      <c r="C7">
        <v>16</v>
      </c>
      <c r="E7">
        <v>5</v>
      </c>
      <c r="G7">
        <v>4</v>
      </c>
      <c r="J7">
        <v>13</v>
      </c>
      <c r="K7">
        <v>12</v>
      </c>
      <c r="L7">
        <v>12</v>
      </c>
      <c r="Q7">
        <v>2</v>
      </c>
      <c r="R7">
        <v>7</v>
      </c>
      <c r="S7">
        <v>3</v>
      </c>
      <c r="U7">
        <v>62</v>
      </c>
      <c r="V7">
        <v>8</v>
      </c>
      <c r="W7">
        <v>42</v>
      </c>
      <c r="X7">
        <v>7</v>
      </c>
      <c r="Y7">
        <v>1</v>
      </c>
      <c r="AA7">
        <v>46</v>
      </c>
      <c r="AB7">
        <v>13</v>
      </c>
      <c r="AC7">
        <v>105</v>
      </c>
      <c r="AE7">
        <v>21</v>
      </c>
      <c r="AN7">
        <v>4</v>
      </c>
      <c r="AO7">
        <v>45</v>
      </c>
      <c r="AQ7">
        <v>6</v>
      </c>
      <c r="AS7">
        <v>85</v>
      </c>
      <c r="AT7">
        <v>2</v>
      </c>
      <c r="AV7">
        <v>4</v>
      </c>
      <c r="AY7">
        <v>14</v>
      </c>
      <c r="BA7">
        <v>31</v>
      </c>
      <c r="BB7">
        <v>140</v>
      </c>
      <c r="BH7">
        <v>4</v>
      </c>
      <c r="BK7">
        <v>7</v>
      </c>
    </row>
    <row r="8" spans="1:64" x14ac:dyDescent="0.3">
      <c r="A8">
        <v>1250.5709999999999</v>
      </c>
      <c r="C8">
        <v>11</v>
      </c>
      <c r="G8">
        <v>3</v>
      </c>
      <c r="I8">
        <v>9</v>
      </c>
      <c r="J8">
        <v>12</v>
      </c>
      <c r="K8">
        <v>9</v>
      </c>
      <c r="L8">
        <v>6</v>
      </c>
      <c r="R8">
        <v>11</v>
      </c>
      <c r="T8">
        <v>5</v>
      </c>
      <c r="U8">
        <v>60</v>
      </c>
      <c r="V8">
        <v>6</v>
      </c>
      <c r="W8">
        <v>48</v>
      </c>
      <c r="X8">
        <v>8</v>
      </c>
      <c r="AA8">
        <v>40</v>
      </c>
      <c r="AB8">
        <v>15</v>
      </c>
      <c r="AC8">
        <v>104</v>
      </c>
      <c r="AD8">
        <v>5</v>
      </c>
      <c r="AE8">
        <v>2</v>
      </c>
      <c r="AH8">
        <v>6</v>
      </c>
      <c r="AO8">
        <v>50</v>
      </c>
      <c r="AQ8">
        <v>5</v>
      </c>
      <c r="AS8">
        <v>77</v>
      </c>
      <c r="AV8">
        <v>6</v>
      </c>
      <c r="AY8">
        <v>12</v>
      </c>
      <c r="BA8">
        <v>17</v>
      </c>
      <c r="BB8">
        <v>90</v>
      </c>
      <c r="BD8">
        <v>6</v>
      </c>
      <c r="BF8">
        <v>4</v>
      </c>
      <c r="BK8">
        <v>9</v>
      </c>
    </row>
    <row r="9" spans="1:64" x14ac:dyDescent="0.3">
      <c r="A9">
        <v>1297.393</v>
      </c>
      <c r="C9">
        <v>9</v>
      </c>
      <c r="G9">
        <v>1</v>
      </c>
      <c r="I9">
        <v>3</v>
      </c>
      <c r="J9">
        <v>8</v>
      </c>
      <c r="K9">
        <v>4</v>
      </c>
      <c r="L9">
        <v>6</v>
      </c>
      <c r="R9">
        <v>7</v>
      </c>
      <c r="U9">
        <v>66</v>
      </c>
      <c r="V9">
        <v>4</v>
      </c>
      <c r="W9">
        <v>50</v>
      </c>
      <c r="X9">
        <v>5</v>
      </c>
      <c r="AA9">
        <v>50</v>
      </c>
      <c r="AB9">
        <v>10</v>
      </c>
      <c r="AC9">
        <v>101</v>
      </c>
      <c r="AD9">
        <v>7</v>
      </c>
      <c r="AF9">
        <v>4</v>
      </c>
      <c r="AN9">
        <v>6</v>
      </c>
      <c r="AO9">
        <v>56</v>
      </c>
      <c r="AQ9">
        <v>13</v>
      </c>
      <c r="AS9">
        <v>64</v>
      </c>
      <c r="AV9">
        <v>4</v>
      </c>
      <c r="AY9">
        <v>13</v>
      </c>
      <c r="BA9">
        <v>12</v>
      </c>
      <c r="BB9">
        <v>86</v>
      </c>
      <c r="BD9">
        <v>8</v>
      </c>
      <c r="BF9">
        <v>6</v>
      </c>
      <c r="BH9">
        <v>3</v>
      </c>
      <c r="BL9">
        <v>5</v>
      </c>
    </row>
    <row r="10" spans="1:64" x14ac:dyDescent="0.3">
      <c r="A10">
        <v>1344.2139999999999</v>
      </c>
      <c r="C10">
        <v>17</v>
      </c>
      <c r="G10">
        <v>3</v>
      </c>
      <c r="J10">
        <v>11</v>
      </c>
      <c r="K10">
        <v>10</v>
      </c>
      <c r="M10">
        <v>1</v>
      </c>
      <c r="O10">
        <v>2</v>
      </c>
      <c r="Q10">
        <v>1</v>
      </c>
      <c r="R10">
        <v>2</v>
      </c>
      <c r="U10">
        <v>42</v>
      </c>
      <c r="V10">
        <v>14</v>
      </c>
      <c r="W10">
        <v>15</v>
      </c>
      <c r="AA10">
        <v>51</v>
      </c>
      <c r="AB10">
        <v>13</v>
      </c>
      <c r="AC10">
        <v>98</v>
      </c>
      <c r="AD10">
        <v>9</v>
      </c>
      <c r="AE10">
        <v>6</v>
      </c>
      <c r="AK10">
        <v>5</v>
      </c>
      <c r="AN10">
        <v>4</v>
      </c>
      <c r="AO10">
        <v>32</v>
      </c>
      <c r="AS10">
        <v>78</v>
      </c>
      <c r="AV10">
        <v>10</v>
      </c>
      <c r="AY10">
        <v>17</v>
      </c>
      <c r="BA10">
        <v>35</v>
      </c>
      <c r="BB10">
        <v>116</v>
      </c>
      <c r="BC10">
        <v>8</v>
      </c>
      <c r="BD10">
        <v>10</v>
      </c>
      <c r="BH10">
        <v>3</v>
      </c>
      <c r="BK10">
        <v>2</v>
      </c>
    </row>
    <row r="11" spans="1:64" x14ac:dyDescent="0.3">
      <c r="A11">
        <v>1391.0360000000001</v>
      </c>
      <c r="C11">
        <v>13</v>
      </c>
      <c r="E11">
        <v>2</v>
      </c>
      <c r="G11">
        <v>5</v>
      </c>
      <c r="I11">
        <v>9</v>
      </c>
      <c r="J11">
        <v>12</v>
      </c>
      <c r="K11">
        <v>9</v>
      </c>
      <c r="L11">
        <v>7</v>
      </c>
      <c r="Q11">
        <v>3</v>
      </c>
      <c r="R11">
        <v>11</v>
      </c>
      <c r="U11">
        <v>38</v>
      </c>
      <c r="V11">
        <v>6</v>
      </c>
      <c r="W11">
        <v>33</v>
      </c>
      <c r="X11">
        <v>6</v>
      </c>
      <c r="AA11">
        <v>46</v>
      </c>
      <c r="AB11">
        <v>11</v>
      </c>
      <c r="AC11">
        <v>103</v>
      </c>
      <c r="AD11">
        <v>7</v>
      </c>
      <c r="AE11">
        <v>7</v>
      </c>
      <c r="AN11">
        <v>6</v>
      </c>
      <c r="AO11">
        <v>33</v>
      </c>
      <c r="AQ11">
        <v>14</v>
      </c>
      <c r="AS11">
        <v>38</v>
      </c>
      <c r="AT11">
        <v>2</v>
      </c>
      <c r="AU11">
        <v>2</v>
      </c>
      <c r="AV11">
        <v>12</v>
      </c>
      <c r="AY11">
        <v>12</v>
      </c>
      <c r="BA11">
        <v>13</v>
      </c>
      <c r="BB11">
        <v>95</v>
      </c>
      <c r="BD11">
        <v>3</v>
      </c>
      <c r="BH11">
        <v>4</v>
      </c>
      <c r="BK11">
        <v>4</v>
      </c>
      <c r="BL11">
        <v>5</v>
      </c>
    </row>
    <row r="12" spans="1:64" x14ac:dyDescent="0.3">
      <c r="A12">
        <v>1437.857</v>
      </c>
      <c r="C12">
        <v>11</v>
      </c>
      <c r="E12">
        <v>1</v>
      </c>
      <c r="G12">
        <v>3</v>
      </c>
      <c r="I12">
        <v>11</v>
      </c>
      <c r="J12">
        <v>9</v>
      </c>
      <c r="K12">
        <v>33</v>
      </c>
      <c r="L12">
        <v>11</v>
      </c>
      <c r="O12">
        <v>3</v>
      </c>
      <c r="Q12">
        <v>3</v>
      </c>
      <c r="R12">
        <v>2</v>
      </c>
      <c r="U12">
        <v>56</v>
      </c>
      <c r="V12">
        <v>12</v>
      </c>
      <c r="W12">
        <v>32</v>
      </c>
      <c r="X12">
        <v>3</v>
      </c>
      <c r="AA12">
        <v>50</v>
      </c>
      <c r="AB12">
        <v>11</v>
      </c>
      <c r="AC12">
        <v>99</v>
      </c>
      <c r="AD12">
        <v>9</v>
      </c>
      <c r="AH12">
        <v>4</v>
      </c>
      <c r="AK12">
        <v>4</v>
      </c>
      <c r="AN12">
        <v>5</v>
      </c>
      <c r="AO12">
        <v>56</v>
      </c>
      <c r="AQ12">
        <v>3</v>
      </c>
      <c r="AS12">
        <v>70</v>
      </c>
      <c r="AV12">
        <v>12</v>
      </c>
      <c r="AY12">
        <v>11</v>
      </c>
      <c r="BA12">
        <v>23</v>
      </c>
      <c r="BB12">
        <v>111</v>
      </c>
      <c r="BC12">
        <v>3</v>
      </c>
      <c r="BD12">
        <v>7</v>
      </c>
      <c r="BH12">
        <v>4</v>
      </c>
      <c r="BK12">
        <v>4</v>
      </c>
    </row>
    <row r="13" spans="1:64" x14ac:dyDescent="0.3">
      <c r="A13">
        <v>1484.6790000000001</v>
      </c>
      <c r="C13">
        <v>14</v>
      </c>
      <c r="F13">
        <v>2</v>
      </c>
      <c r="G13">
        <v>3</v>
      </c>
      <c r="K13">
        <v>40</v>
      </c>
      <c r="R13">
        <v>12</v>
      </c>
      <c r="U13">
        <v>53</v>
      </c>
      <c r="V13">
        <v>7</v>
      </c>
      <c r="W13">
        <v>24</v>
      </c>
      <c r="Z13">
        <v>3</v>
      </c>
      <c r="AA13">
        <v>52</v>
      </c>
      <c r="AB13">
        <v>9</v>
      </c>
      <c r="AC13">
        <v>94</v>
      </c>
      <c r="AD13">
        <v>8</v>
      </c>
      <c r="AE13">
        <v>3</v>
      </c>
      <c r="AK13">
        <v>7</v>
      </c>
      <c r="AN13">
        <v>7</v>
      </c>
      <c r="AO13">
        <v>62</v>
      </c>
      <c r="AS13">
        <v>68</v>
      </c>
      <c r="AV13">
        <v>5</v>
      </c>
      <c r="AY13">
        <v>8</v>
      </c>
      <c r="BA13">
        <v>17</v>
      </c>
      <c r="BB13">
        <v>102</v>
      </c>
      <c r="BC13">
        <v>4</v>
      </c>
      <c r="BD13">
        <v>4</v>
      </c>
      <c r="BH13">
        <v>3</v>
      </c>
      <c r="BK13">
        <v>3</v>
      </c>
    </row>
    <row r="14" spans="1:64" x14ac:dyDescent="0.3">
      <c r="A14">
        <v>1531.5</v>
      </c>
      <c r="C14">
        <v>12</v>
      </c>
      <c r="G14">
        <v>5</v>
      </c>
      <c r="I14">
        <v>5</v>
      </c>
      <c r="J14">
        <v>9</v>
      </c>
      <c r="K14">
        <v>16</v>
      </c>
      <c r="L14">
        <v>3</v>
      </c>
      <c r="R14">
        <v>9</v>
      </c>
      <c r="U14">
        <v>40</v>
      </c>
      <c r="V14">
        <v>11</v>
      </c>
      <c r="W14">
        <v>11</v>
      </c>
      <c r="AA14">
        <v>56</v>
      </c>
      <c r="AB14">
        <v>9</v>
      </c>
      <c r="AC14">
        <v>93</v>
      </c>
      <c r="AD14">
        <v>8</v>
      </c>
      <c r="AK14">
        <v>3</v>
      </c>
      <c r="AN14">
        <v>4</v>
      </c>
      <c r="AO14">
        <v>35</v>
      </c>
      <c r="AQ14">
        <v>5</v>
      </c>
      <c r="AS14">
        <v>60</v>
      </c>
      <c r="AV14">
        <v>9</v>
      </c>
      <c r="AY14">
        <v>2</v>
      </c>
      <c r="BA14">
        <v>20</v>
      </c>
      <c r="BB14">
        <v>128</v>
      </c>
      <c r="BD14">
        <v>9</v>
      </c>
      <c r="BF14">
        <v>3</v>
      </c>
      <c r="BK14">
        <v>3</v>
      </c>
    </row>
    <row r="15" spans="1:64" x14ac:dyDescent="0.3">
      <c r="A15">
        <v>1578.3209999999999</v>
      </c>
      <c r="C15">
        <v>7</v>
      </c>
      <c r="G15">
        <v>5</v>
      </c>
      <c r="I15">
        <v>6</v>
      </c>
      <c r="J15">
        <v>11</v>
      </c>
      <c r="K15">
        <v>18</v>
      </c>
      <c r="L15">
        <v>4</v>
      </c>
      <c r="R15">
        <v>3</v>
      </c>
      <c r="U15">
        <v>41</v>
      </c>
      <c r="V15">
        <v>11</v>
      </c>
      <c r="W15">
        <v>7</v>
      </c>
      <c r="X15">
        <v>3</v>
      </c>
      <c r="AA15">
        <v>58</v>
      </c>
      <c r="AB15">
        <v>9</v>
      </c>
      <c r="AC15">
        <v>90</v>
      </c>
      <c r="AD15">
        <v>6</v>
      </c>
      <c r="AK15">
        <v>3</v>
      </c>
      <c r="AN15">
        <v>7</v>
      </c>
      <c r="AO15">
        <v>36</v>
      </c>
      <c r="AQ15">
        <v>5</v>
      </c>
      <c r="AS15">
        <v>60</v>
      </c>
      <c r="AT15">
        <v>6</v>
      </c>
      <c r="AV15">
        <v>6</v>
      </c>
      <c r="AY15">
        <v>3</v>
      </c>
      <c r="BA15">
        <v>16</v>
      </c>
      <c r="BB15">
        <v>128</v>
      </c>
      <c r="BD15">
        <v>8</v>
      </c>
      <c r="BF15">
        <v>3</v>
      </c>
      <c r="BH15">
        <v>3</v>
      </c>
      <c r="BK15">
        <v>7</v>
      </c>
    </row>
    <row r="16" spans="1:64" x14ac:dyDescent="0.3">
      <c r="A16">
        <v>1625.143</v>
      </c>
      <c r="C16">
        <v>5</v>
      </c>
      <c r="E16">
        <v>1</v>
      </c>
      <c r="I16">
        <v>5</v>
      </c>
      <c r="J16">
        <v>8</v>
      </c>
      <c r="K16">
        <v>20</v>
      </c>
      <c r="R16">
        <v>5</v>
      </c>
      <c r="S16">
        <v>5</v>
      </c>
      <c r="U16">
        <v>43</v>
      </c>
      <c r="V16">
        <v>10</v>
      </c>
      <c r="W16">
        <v>20</v>
      </c>
      <c r="X16">
        <v>2</v>
      </c>
      <c r="AA16">
        <v>55</v>
      </c>
      <c r="AB16">
        <v>13</v>
      </c>
      <c r="AC16">
        <v>85</v>
      </c>
      <c r="AD16">
        <v>8</v>
      </c>
      <c r="AE16">
        <v>4</v>
      </c>
      <c r="AK16">
        <v>5</v>
      </c>
      <c r="AN16">
        <v>5</v>
      </c>
      <c r="AO16">
        <v>38</v>
      </c>
      <c r="AS16">
        <v>55</v>
      </c>
      <c r="AU16">
        <v>1</v>
      </c>
      <c r="AY16">
        <v>12</v>
      </c>
      <c r="BA16">
        <v>13</v>
      </c>
      <c r="BB16">
        <v>131</v>
      </c>
      <c r="BD16">
        <v>7</v>
      </c>
      <c r="BF16">
        <v>4</v>
      </c>
      <c r="BH16">
        <v>3</v>
      </c>
    </row>
    <row r="17" spans="1:64" x14ac:dyDescent="0.3">
      <c r="A17">
        <v>1671.9639999999999</v>
      </c>
      <c r="C17">
        <v>9</v>
      </c>
      <c r="D17">
        <v>6</v>
      </c>
      <c r="E17">
        <v>6</v>
      </c>
      <c r="I17">
        <v>9</v>
      </c>
      <c r="J17">
        <v>9</v>
      </c>
      <c r="K17">
        <v>23</v>
      </c>
      <c r="L17">
        <v>5</v>
      </c>
      <c r="Q17">
        <v>3</v>
      </c>
      <c r="R17">
        <v>11</v>
      </c>
      <c r="S17">
        <v>8</v>
      </c>
      <c r="U17">
        <v>45</v>
      </c>
      <c r="V17">
        <v>11</v>
      </c>
      <c r="W17">
        <v>23</v>
      </c>
      <c r="X17">
        <v>5</v>
      </c>
      <c r="AA17">
        <v>59</v>
      </c>
      <c r="AB17">
        <v>12</v>
      </c>
      <c r="AC17">
        <v>88</v>
      </c>
      <c r="AD17">
        <v>7</v>
      </c>
      <c r="AK17">
        <v>6</v>
      </c>
      <c r="AN17">
        <v>8</v>
      </c>
      <c r="AO17">
        <v>40</v>
      </c>
      <c r="AQ17">
        <v>5</v>
      </c>
      <c r="AS17">
        <v>68</v>
      </c>
      <c r="AY17">
        <v>17</v>
      </c>
      <c r="BA17">
        <v>22</v>
      </c>
      <c r="BB17">
        <v>128</v>
      </c>
      <c r="BD17">
        <v>9</v>
      </c>
      <c r="BF17">
        <v>6</v>
      </c>
      <c r="BH17">
        <v>7</v>
      </c>
      <c r="BL17">
        <v>5</v>
      </c>
    </row>
    <row r="18" spans="1:64" x14ac:dyDescent="0.3">
      <c r="A18">
        <v>1718.7860000000001</v>
      </c>
      <c r="C18">
        <v>7</v>
      </c>
      <c r="E18">
        <v>6</v>
      </c>
      <c r="G18">
        <v>3</v>
      </c>
      <c r="I18">
        <v>16</v>
      </c>
      <c r="J18">
        <v>9</v>
      </c>
      <c r="K18">
        <v>22</v>
      </c>
      <c r="L18">
        <v>6</v>
      </c>
      <c r="R18">
        <v>5</v>
      </c>
      <c r="S18">
        <v>6</v>
      </c>
      <c r="U18">
        <v>49</v>
      </c>
      <c r="V18">
        <v>11</v>
      </c>
      <c r="W18">
        <v>28</v>
      </c>
      <c r="X18">
        <v>2</v>
      </c>
      <c r="AA18">
        <v>59</v>
      </c>
      <c r="AB18">
        <v>11</v>
      </c>
      <c r="AC18">
        <v>89</v>
      </c>
      <c r="AD18">
        <v>7</v>
      </c>
      <c r="AE18">
        <v>6</v>
      </c>
      <c r="AK18">
        <v>8</v>
      </c>
      <c r="AN18">
        <v>6</v>
      </c>
      <c r="AO18">
        <v>47</v>
      </c>
      <c r="AQ18">
        <v>5</v>
      </c>
      <c r="AS18">
        <v>68</v>
      </c>
      <c r="AU18">
        <v>4</v>
      </c>
      <c r="AY18">
        <v>16</v>
      </c>
      <c r="BA18">
        <v>55</v>
      </c>
      <c r="BB18">
        <v>123</v>
      </c>
      <c r="BC18">
        <v>6</v>
      </c>
      <c r="BD18">
        <v>9</v>
      </c>
      <c r="BF18">
        <v>4</v>
      </c>
      <c r="BH18">
        <v>7</v>
      </c>
    </row>
    <row r="19" spans="1:64" x14ac:dyDescent="0.3">
      <c r="A19">
        <v>1765.607</v>
      </c>
      <c r="C19">
        <v>8</v>
      </c>
      <c r="E19">
        <v>8</v>
      </c>
      <c r="G19">
        <v>4</v>
      </c>
      <c r="I19">
        <v>16</v>
      </c>
      <c r="J19">
        <v>11</v>
      </c>
      <c r="K19">
        <v>26</v>
      </c>
      <c r="L19">
        <v>9</v>
      </c>
      <c r="R19">
        <v>6</v>
      </c>
      <c r="S19">
        <v>7</v>
      </c>
      <c r="U19">
        <v>52</v>
      </c>
      <c r="V19">
        <v>11</v>
      </c>
      <c r="W19">
        <v>27</v>
      </c>
      <c r="X19">
        <v>3</v>
      </c>
      <c r="AA19">
        <v>62</v>
      </c>
      <c r="AB19">
        <v>12</v>
      </c>
      <c r="AC19">
        <v>77</v>
      </c>
      <c r="AD19">
        <v>7</v>
      </c>
      <c r="AE19">
        <v>4</v>
      </c>
      <c r="AK19">
        <v>7</v>
      </c>
      <c r="AN19">
        <v>7</v>
      </c>
      <c r="AO19">
        <v>50</v>
      </c>
      <c r="AQ19">
        <v>4</v>
      </c>
      <c r="AS19">
        <v>72</v>
      </c>
      <c r="AV19">
        <v>4</v>
      </c>
      <c r="AY19">
        <v>17</v>
      </c>
      <c r="BA19">
        <v>57</v>
      </c>
      <c r="BB19">
        <v>105</v>
      </c>
      <c r="BC19">
        <v>4</v>
      </c>
      <c r="BD19">
        <v>7</v>
      </c>
      <c r="BF19">
        <v>5</v>
      </c>
      <c r="BH19">
        <v>6</v>
      </c>
      <c r="BK19">
        <v>8</v>
      </c>
    </row>
    <row r="20" spans="1:64" x14ac:dyDescent="0.3">
      <c r="A20">
        <v>1812.4290000000001</v>
      </c>
      <c r="C20">
        <v>17</v>
      </c>
      <c r="E20">
        <v>8</v>
      </c>
      <c r="G20">
        <v>2</v>
      </c>
      <c r="I20">
        <v>15</v>
      </c>
      <c r="J20">
        <v>13</v>
      </c>
      <c r="K20">
        <v>17</v>
      </c>
      <c r="L20">
        <v>8</v>
      </c>
      <c r="R20">
        <v>1</v>
      </c>
      <c r="U20">
        <v>50</v>
      </c>
      <c r="V20">
        <v>10</v>
      </c>
      <c r="W20">
        <v>28</v>
      </c>
      <c r="AA20">
        <v>60</v>
      </c>
      <c r="AB20">
        <v>10</v>
      </c>
      <c r="AC20">
        <v>70</v>
      </c>
      <c r="AD20">
        <v>2</v>
      </c>
      <c r="AE20">
        <v>8</v>
      </c>
      <c r="AF20">
        <v>3</v>
      </c>
      <c r="AK20">
        <v>7</v>
      </c>
      <c r="AO20">
        <v>55</v>
      </c>
      <c r="AQ20">
        <v>3</v>
      </c>
      <c r="AS20">
        <v>70</v>
      </c>
      <c r="AY20">
        <v>11</v>
      </c>
      <c r="BA20">
        <v>55</v>
      </c>
      <c r="BB20">
        <v>96</v>
      </c>
      <c r="BD20">
        <v>6</v>
      </c>
      <c r="BF20">
        <v>8</v>
      </c>
      <c r="BH20">
        <v>3</v>
      </c>
    </row>
    <row r="21" spans="1:64" x14ac:dyDescent="0.3">
      <c r="A21">
        <v>1859.25</v>
      </c>
      <c r="C21">
        <v>15</v>
      </c>
      <c r="E21">
        <v>3</v>
      </c>
      <c r="G21">
        <v>5</v>
      </c>
      <c r="I21">
        <v>11</v>
      </c>
      <c r="J21">
        <v>12</v>
      </c>
      <c r="K21">
        <v>18</v>
      </c>
      <c r="L21">
        <v>7</v>
      </c>
      <c r="R21">
        <v>6</v>
      </c>
      <c r="U21">
        <v>55</v>
      </c>
      <c r="V21">
        <v>11</v>
      </c>
      <c r="W21">
        <v>21</v>
      </c>
      <c r="AA21">
        <v>57</v>
      </c>
      <c r="AB21">
        <v>11</v>
      </c>
      <c r="AC21">
        <v>71</v>
      </c>
      <c r="AD21">
        <v>4</v>
      </c>
      <c r="AE21">
        <v>4</v>
      </c>
      <c r="AF21">
        <v>5</v>
      </c>
      <c r="AK21">
        <v>9</v>
      </c>
      <c r="AN21">
        <v>5</v>
      </c>
      <c r="AO21">
        <v>59</v>
      </c>
      <c r="AQ21">
        <v>5</v>
      </c>
      <c r="AS21">
        <v>65</v>
      </c>
      <c r="AT21">
        <v>1</v>
      </c>
      <c r="AY21">
        <v>8</v>
      </c>
      <c r="BA21">
        <v>54</v>
      </c>
      <c r="BB21">
        <v>99</v>
      </c>
      <c r="BD21">
        <v>8</v>
      </c>
      <c r="BF21">
        <v>6</v>
      </c>
      <c r="BH21">
        <v>6</v>
      </c>
    </row>
    <row r="22" spans="1:64" x14ac:dyDescent="0.3">
      <c r="A22">
        <v>1906.0709999999999</v>
      </c>
      <c r="C22">
        <v>13</v>
      </c>
      <c r="E22">
        <v>3</v>
      </c>
      <c r="G22">
        <v>6</v>
      </c>
      <c r="I22">
        <v>16</v>
      </c>
      <c r="J22">
        <v>15</v>
      </c>
      <c r="K22">
        <v>20</v>
      </c>
      <c r="L22">
        <v>6</v>
      </c>
      <c r="R22">
        <v>8</v>
      </c>
      <c r="U22">
        <v>60</v>
      </c>
      <c r="V22">
        <v>6</v>
      </c>
      <c r="W22">
        <v>27</v>
      </c>
      <c r="AA22">
        <v>60</v>
      </c>
      <c r="AB22">
        <v>12</v>
      </c>
      <c r="AC22">
        <v>65</v>
      </c>
      <c r="AD22">
        <v>3</v>
      </c>
      <c r="AE22">
        <v>6</v>
      </c>
      <c r="AF22">
        <v>2</v>
      </c>
      <c r="AK22">
        <v>4</v>
      </c>
      <c r="AN22">
        <v>6</v>
      </c>
      <c r="AO22">
        <v>58</v>
      </c>
      <c r="AQ22">
        <v>7</v>
      </c>
      <c r="AS22">
        <v>77</v>
      </c>
      <c r="AY22">
        <v>7</v>
      </c>
      <c r="BA22">
        <v>57</v>
      </c>
      <c r="BB22">
        <v>101</v>
      </c>
      <c r="BD22">
        <v>6</v>
      </c>
      <c r="BF22">
        <v>6</v>
      </c>
      <c r="BH22">
        <v>5</v>
      </c>
    </row>
    <row r="23" spans="1:64" x14ac:dyDescent="0.3">
      <c r="A23">
        <v>1952.893</v>
      </c>
      <c r="C23">
        <v>11</v>
      </c>
      <c r="D23">
        <v>5</v>
      </c>
      <c r="E23">
        <v>3</v>
      </c>
      <c r="G23">
        <v>3</v>
      </c>
      <c r="J23">
        <v>14</v>
      </c>
      <c r="K23">
        <v>17</v>
      </c>
      <c r="Q23">
        <v>10</v>
      </c>
      <c r="U23">
        <v>68</v>
      </c>
      <c r="W23">
        <v>35</v>
      </c>
      <c r="AA23">
        <v>66</v>
      </c>
      <c r="AB23">
        <v>9</v>
      </c>
      <c r="AC23">
        <v>62</v>
      </c>
      <c r="AD23">
        <v>7</v>
      </c>
      <c r="AE23">
        <v>4</v>
      </c>
      <c r="AN23">
        <v>8</v>
      </c>
      <c r="AO23">
        <v>51</v>
      </c>
      <c r="AQ23">
        <v>5</v>
      </c>
      <c r="AS23">
        <v>82</v>
      </c>
      <c r="AV23">
        <v>5</v>
      </c>
      <c r="AY23">
        <v>8</v>
      </c>
      <c r="BA23">
        <v>52</v>
      </c>
      <c r="BB23">
        <v>100</v>
      </c>
      <c r="BD23">
        <v>3</v>
      </c>
      <c r="BF23">
        <v>3</v>
      </c>
      <c r="BH23">
        <v>4</v>
      </c>
    </row>
    <row r="24" spans="1:64" x14ac:dyDescent="0.3">
      <c r="A24">
        <v>1999.7139999999999</v>
      </c>
      <c r="C24">
        <v>11</v>
      </c>
      <c r="E24">
        <v>6</v>
      </c>
      <c r="I24">
        <v>7</v>
      </c>
      <c r="J24">
        <v>16</v>
      </c>
      <c r="K24">
        <v>11</v>
      </c>
      <c r="L24">
        <v>8</v>
      </c>
      <c r="R24">
        <v>5</v>
      </c>
      <c r="U24">
        <v>59</v>
      </c>
      <c r="V24">
        <v>21</v>
      </c>
      <c r="W24">
        <v>22</v>
      </c>
      <c r="AA24">
        <v>60</v>
      </c>
      <c r="AB24">
        <v>7</v>
      </c>
      <c r="AC24">
        <v>77</v>
      </c>
      <c r="AD24">
        <v>5</v>
      </c>
      <c r="AE24">
        <v>9</v>
      </c>
      <c r="AF24">
        <v>5</v>
      </c>
      <c r="AK24">
        <v>8</v>
      </c>
      <c r="AN24">
        <v>9</v>
      </c>
      <c r="AO24">
        <v>59</v>
      </c>
      <c r="AQ24">
        <v>6</v>
      </c>
      <c r="AS24">
        <v>71</v>
      </c>
      <c r="AY24">
        <v>8</v>
      </c>
      <c r="BA24">
        <v>43</v>
      </c>
      <c r="BB24">
        <v>101</v>
      </c>
      <c r="BD24">
        <v>6</v>
      </c>
      <c r="BF24">
        <v>6</v>
      </c>
      <c r="BH24">
        <v>4</v>
      </c>
    </row>
    <row r="25" spans="1:64" x14ac:dyDescent="0.3">
      <c r="A25">
        <v>2046.5360000000001</v>
      </c>
      <c r="C25">
        <v>13</v>
      </c>
      <c r="D25">
        <v>7</v>
      </c>
      <c r="E25">
        <v>7</v>
      </c>
      <c r="I25">
        <v>11</v>
      </c>
      <c r="J25">
        <v>12</v>
      </c>
      <c r="K25">
        <v>16</v>
      </c>
      <c r="L25">
        <v>12</v>
      </c>
      <c r="Q25">
        <v>3</v>
      </c>
      <c r="R25">
        <v>8</v>
      </c>
      <c r="U25">
        <v>56</v>
      </c>
      <c r="V25">
        <v>15</v>
      </c>
      <c r="W25">
        <v>23</v>
      </c>
      <c r="AA25">
        <v>50</v>
      </c>
      <c r="AB25">
        <v>15</v>
      </c>
      <c r="AC25">
        <v>70</v>
      </c>
      <c r="AD25">
        <v>7</v>
      </c>
      <c r="AE25">
        <v>6</v>
      </c>
      <c r="AF25">
        <v>4</v>
      </c>
      <c r="AN25">
        <v>7</v>
      </c>
      <c r="AO25">
        <v>59</v>
      </c>
      <c r="AQ25">
        <v>8</v>
      </c>
      <c r="AS25">
        <v>74</v>
      </c>
      <c r="AY25">
        <v>8</v>
      </c>
      <c r="BA25">
        <v>45</v>
      </c>
      <c r="BB25">
        <v>100</v>
      </c>
      <c r="BD25">
        <v>8</v>
      </c>
      <c r="BF25">
        <v>6</v>
      </c>
      <c r="BH25">
        <v>6</v>
      </c>
    </row>
    <row r="26" spans="1:64" x14ac:dyDescent="0.3">
      <c r="A26">
        <v>2093.357</v>
      </c>
      <c r="C26">
        <v>16</v>
      </c>
      <c r="D26">
        <v>3</v>
      </c>
      <c r="E26">
        <v>7</v>
      </c>
      <c r="G26">
        <v>7</v>
      </c>
      <c r="I26">
        <v>11</v>
      </c>
      <c r="J26">
        <v>14</v>
      </c>
      <c r="K26">
        <v>16</v>
      </c>
      <c r="Q26">
        <v>3</v>
      </c>
      <c r="R26">
        <v>2</v>
      </c>
      <c r="S26">
        <v>12</v>
      </c>
      <c r="U26">
        <v>55</v>
      </c>
      <c r="V26">
        <v>10</v>
      </c>
      <c r="W26">
        <v>20</v>
      </c>
      <c r="Y26">
        <v>2</v>
      </c>
      <c r="AA26">
        <v>46</v>
      </c>
      <c r="AB26">
        <v>17</v>
      </c>
      <c r="AC26">
        <v>65</v>
      </c>
      <c r="AD26">
        <v>4</v>
      </c>
      <c r="AE26">
        <v>8</v>
      </c>
      <c r="AF26">
        <v>3</v>
      </c>
      <c r="AK26">
        <v>6</v>
      </c>
      <c r="AN26">
        <v>4</v>
      </c>
      <c r="AO26">
        <v>56</v>
      </c>
      <c r="AQ26">
        <v>6</v>
      </c>
      <c r="AS26">
        <v>70</v>
      </c>
      <c r="AT26">
        <v>1</v>
      </c>
      <c r="AY26">
        <v>6</v>
      </c>
      <c r="BA26">
        <v>46</v>
      </c>
      <c r="BB26">
        <v>95</v>
      </c>
      <c r="BC26">
        <v>3</v>
      </c>
      <c r="BD26">
        <v>10</v>
      </c>
      <c r="BF26">
        <v>7</v>
      </c>
    </row>
    <row r="27" spans="1:64" x14ac:dyDescent="0.3">
      <c r="A27">
        <v>2140.1779999999999</v>
      </c>
      <c r="C27">
        <v>13</v>
      </c>
      <c r="G27">
        <v>3</v>
      </c>
      <c r="I27">
        <v>24</v>
      </c>
      <c r="J27">
        <v>9</v>
      </c>
      <c r="K27">
        <v>23</v>
      </c>
      <c r="Q27">
        <v>3</v>
      </c>
      <c r="R27">
        <v>10</v>
      </c>
      <c r="U27">
        <v>58</v>
      </c>
      <c r="V27">
        <v>9</v>
      </c>
      <c r="W27">
        <v>50</v>
      </c>
      <c r="AA27">
        <v>57</v>
      </c>
      <c r="AB27">
        <v>14</v>
      </c>
      <c r="AC27">
        <v>58</v>
      </c>
      <c r="AD27">
        <v>9</v>
      </c>
      <c r="AK27">
        <v>4</v>
      </c>
      <c r="AN27">
        <v>8</v>
      </c>
      <c r="AO27">
        <v>60</v>
      </c>
      <c r="AQ27">
        <v>9</v>
      </c>
      <c r="AS27">
        <v>64</v>
      </c>
      <c r="AV27">
        <v>9</v>
      </c>
      <c r="AY27">
        <v>9</v>
      </c>
      <c r="BA27">
        <v>51</v>
      </c>
      <c r="BB27">
        <v>83</v>
      </c>
      <c r="BC27">
        <v>4</v>
      </c>
      <c r="BD27">
        <v>8</v>
      </c>
      <c r="BF27">
        <v>5</v>
      </c>
      <c r="BK27">
        <v>5</v>
      </c>
    </row>
    <row r="28" spans="1:64" x14ac:dyDescent="0.3">
      <c r="A28">
        <v>2187</v>
      </c>
      <c r="C28">
        <v>14</v>
      </c>
      <c r="D28">
        <v>5</v>
      </c>
      <c r="G28">
        <v>2</v>
      </c>
      <c r="H28">
        <v>1</v>
      </c>
      <c r="I28">
        <v>8</v>
      </c>
      <c r="J28">
        <v>10</v>
      </c>
      <c r="K28">
        <v>22</v>
      </c>
      <c r="L28">
        <v>7</v>
      </c>
      <c r="Q28">
        <v>4</v>
      </c>
      <c r="R28">
        <v>11</v>
      </c>
      <c r="U28">
        <v>52</v>
      </c>
      <c r="V28">
        <v>13</v>
      </c>
      <c r="W28">
        <v>35</v>
      </c>
      <c r="AA28">
        <v>62</v>
      </c>
      <c r="AB28">
        <v>17</v>
      </c>
      <c r="AC28">
        <v>78</v>
      </c>
      <c r="AD28">
        <v>7</v>
      </c>
      <c r="AE28">
        <v>5</v>
      </c>
      <c r="AF28">
        <v>5</v>
      </c>
      <c r="AN28">
        <v>4</v>
      </c>
      <c r="AO28">
        <v>58</v>
      </c>
      <c r="AQ28">
        <v>3</v>
      </c>
      <c r="AS28">
        <v>70</v>
      </c>
      <c r="AU28">
        <v>1</v>
      </c>
      <c r="AV28">
        <v>10</v>
      </c>
      <c r="AW28">
        <v>4</v>
      </c>
      <c r="AY28">
        <v>18</v>
      </c>
      <c r="BA28">
        <v>56</v>
      </c>
      <c r="BB28">
        <v>115</v>
      </c>
      <c r="BC28">
        <v>3</v>
      </c>
      <c r="BD28">
        <v>7</v>
      </c>
      <c r="BF28">
        <v>2</v>
      </c>
      <c r="BH28">
        <v>3</v>
      </c>
      <c r="BK28">
        <v>4</v>
      </c>
    </row>
    <row r="29" spans="1:64" x14ac:dyDescent="0.3">
      <c r="A29">
        <v>2234.3330000000001</v>
      </c>
      <c r="C29">
        <v>12</v>
      </c>
      <c r="D29">
        <v>3</v>
      </c>
      <c r="E29">
        <v>5</v>
      </c>
      <c r="G29">
        <v>3</v>
      </c>
      <c r="I29">
        <v>5</v>
      </c>
      <c r="J29">
        <v>20</v>
      </c>
      <c r="K29">
        <v>12</v>
      </c>
      <c r="L29">
        <v>15</v>
      </c>
      <c r="Q29">
        <v>5</v>
      </c>
      <c r="R29">
        <v>3</v>
      </c>
      <c r="U29">
        <v>56</v>
      </c>
      <c r="V29">
        <v>9</v>
      </c>
      <c r="W29">
        <v>25</v>
      </c>
      <c r="AA29">
        <v>52</v>
      </c>
      <c r="AB29">
        <v>10</v>
      </c>
      <c r="AC29">
        <v>70</v>
      </c>
      <c r="AD29">
        <v>9</v>
      </c>
      <c r="AK29">
        <v>2</v>
      </c>
      <c r="AN29">
        <v>8</v>
      </c>
      <c r="AO29">
        <v>77</v>
      </c>
      <c r="AQ29">
        <v>8</v>
      </c>
      <c r="AR29">
        <v>3</v>
      </c>
      <c r="AS29">
        <v>53</v>
      </c>
      <c r="AV29">
        <v>2</v>
      </c>
      <c r="AY29">
        <v>11</v>
      </c>
      <c r="BA29">
        <v>41</v>
      </c>
      <c r="BB29">
        <v>92</v>
      </c>
      <c r="BC29">
        <v>2</v>
      </c>
      <c r="BD29">
        <v>5</v>
      </c>
      <c r="BF29">
        <v>4</v>
      </c>
    </row>
    <row r="30" spans="1:64" x14ac:dyDescent="0.3">
      <c r="A30">
        <v>2281.6669999999999</v>
      </c>
      <c r="C30">
        <v>12</v>
      </c>
      <c r="E30">
        <v>2</v>
      </c>
      <c r="G30">
        <v>1</v>
      </c>
      <c r="I30">
        <v>2</v>
      </c>
      <c r="J30">
        <v>8</v>
      </c>
      <c r="K30">
        <v>12</v>
      </c>
      <c r="N30">
        <v>5</v>
      </c>
      <c r="U30">
        <v>52</v>
      </c>
      <c r="V30">
        <v>12</v>
      </c>
      <c r="W30">
        <v>12</v>
      </c>
      <c r="AA30">
        <v>65</v>
      </c>
      <c r="AB30">
        <v>24</v>
      </c>
      <c r="AC30">
        <v>51</v>
      </c>
      <c r="AD30">
        <v>5</v>
      </c>
      <c r="AK30">
        <v>2</v>
      </c>
      <c r="AN30">
        <v>6</v>
      </c>
      <c r="AO30">
        <v>70</v>
      </c>
      <c r="AS30">
        <v>66</v>
      </c>
      <c r="AV30">
        <v>3</v>
      </c>
      <c r="AY30">
        <v>18</v>
      </c>
      <c r="BA30">
        <v>50</v>
      </c>
      <c r="BB30">
        <v>95</v>
      </c>
      <c r="BD30">
        <v>3</v>
      </c>
      <c r="BF30">
        <v>10</v>
      </c>
      <c r="BH30">
        <v>1</v>
      </c>
    </row>
    <row r="31" spans="1:64" x14ac:dyDescent="0.3">
      <c r="A31">
        <v>2329</v>
      </c>
      <c r="C31">
        <v>13</v>
      </c>
      <c r="E31">
        <v>3</v>
      </c>
      <c r="G31">
        <v>1</v>
      </c>
      <c r="I31">
        <v>7</v>
      </c>
      <c r="J31">
        <v>12</v>
      </c>
      <c r="K31">
        <v>16</v>
      </c>
      <c r="L31">
        <v>13</v>
      </c>
      <c r="R31">
        <v>8</v>
      </c>
      <c r="U31">
        <v>62</v>
      </c>
      <c r="W31">
        <v>13</v>
      </c>
      <c r="X31">
        <v>3</v>
      </c>
      <c r="AA31">
        <v>63</v>
      </c>
      <c r="AB31">
        <v>13</v>
      </c>
      <c r="AC31">
        <v>82</v>
      </c>
      <c r="AD31">
        <v>9</v>
      </c>
      <c r="AE31">
        <v>4</v>
      </c>
      <c r="AH31">
        <v>4</v>
      </c>
      <c r="AK31">
        <v>4</v>
      </c>
      <c r="AN31">
        <v>3</v>
      </c>
      <c r="AO31">
        <v>77</v>
      </c>
      <c r="AQ31">
        <v>4</v>
      </c>
      <c r="AS31">
        <v>61</v>
      </c>
      <c r="AT31">
        <v>2</v>
      </c>
      <c r="AV31">
        <v>11</v>
      </c>
      <c r="AY31">
        <v>9</v>
      </c>
      <c r="BA31">
        <v>58</v>
      </c>
      <c r="BB31">
        <v>113</v>
      </c>
      <c r="BD31">
        <v>8</v>
      </c>
      <c r="BF31">
        <v>4</v>
      </c>
      <c r="BH31">
        <v>5</v>
      </c>
    </row>
    <row r="32" spans="1:64" x14ac:dyDescent="0.3">
      <c r="A32">
        <v>2376.3330000000001</v>
      </c>
      <c r="C32">
        <v>11</v>
      </c>
      <c r="E32">
        <v>6</v>
      </c>
      <c r="G32">
        <v>4</v>
      </c>
      <c r="I32">
        <v>8</v>
      </c>
      <c r="J32">
        <v>10</v>
      </c>
      <c r="K32">
        <v>15</v>
      </c>
      <c r="L32">
        <v>12</v>
      </c>
      <c r="R32">
        <v>6</v>
      </c>
      <c r="U32">
        <v>57</v>
      </c>
      <c r="V32">
        <v>4</v>
      </c>
      <c r="W32">
        <v>15</v>
      </c>
      <c r="X32">
        <v>2</v>
      </c>
      <c r="AA32">
        <v>65</v>
      </c>
      <c r="AB32">
        <v>11</v>
      </c>
      <c r="AC32">
        <v>74</v>
      </c>
      <c r="AD32">
        <v>7</v>
      </c>
      <c r="AF32">
        <v>4</v>
      </c>
      <c r="AK32">
        <v>7</v>
      </c>
      <c r="AN32">
        <v>6</v>
      </c>
      <c r="AO32">
        <v>75</v>
      </c>
      <c r="AQ32">
        <v>4</v>
      </c>
      <c r="AS32">
        <v>65</v>
      </c>
      <c r="AV32">
        <v>9</v>
      </c>
      <c r="AY32">
        <v>11</v>
      </c>
      <c r="BA32">
        <v>43</v>
      </c>
      <c r="BB32">
        <v>100</v>
      </c>
      <c r="BD32">
        <v>7</v>
      </c>
      <c r="BF32">
        <v>6</v>
      </c>
      <c r="BH32">
        <v>6</v>
      </c>
    </row>
    <row r="33" spans="1:64" x14ac:dyDescent="0.3">
      <c r="A33">
        <v>2423.6669999999999</v>
      </c>
      <c r="C33">
        <v>14</v>
      </c>
      <c r="E33">
        <v>3</v>
      </c>
      <c r="G33">
        <v>3</v>
      </c>
      <c r="I33">
        <v>3</v>
      </c>
      <c r="J33">
        <v>13</v>
      </c>
      <c r="K33">
        <v>13</v>
      </c>
      <c r="L33">
        <v>4</v>
      </c>
      <c r="R33">
        <v>7</v>
      </c>
      <c r="U33">
        <v>54</v>
      </c>
      <c r="V33">
        <v>7</v>
      </c>
      <c r="W33">
        <v>17</v>
      </c>
      <c r="AA33">
        <v>63</v>
      </c>
      <c r="AB33">
        <v>6</v>
      </c>
      <c r="AC33">
        <v>67</v>
      </c>
      <c r="AD33">
        <v>8</v>
      </c>
      <c r="AF33">
        <v>3</v>
      </c>
      <c r="AK33">
        <v>4</v>
      </c>
      <c r="AN33">
        <v>8</v>
      </c>
      <c r="AO33">
        <v>68</v>
      </c>
      <c r="AS33">
        <v>68</v>
      </c>
      <c r="AV33">
        <v>7</v>
      </c>
      <c r="AY33">
        <v>13</v>
      </c>
      <c r="BA33">
        <v>27</v>
      </c>
      <c r="BB33">
        <v>92</v>
      </c>
      <c r="BD33">
        <v>6</v>
      </c>
      <c r="BF33">
        <v>4</v>
      </c>
      <c r="BH33">
        <v>2</v>
      </c>
    </row>
    <row r="34" spans="1:64" x14ac:dyDescent="0.3">
      <c r="A34">
        <v>2471</v>
      </c>
      <c r="C34">
        <v>15</v>
      </c>
      <c r="D34">
        <v>5</v>
      </c>
      <c r="E34">
        <v>4</v>
      </c>
      <c r="G34">
        <v>6</v>
      </c>
      <c r="I34">
        <v>6</v>
      </c>
      <c r="J34">
        <v>12</v>
      </c>
      <c r="K34">
        <v>12</v>
      </c>
      <c r="L34">
        <v>6</v>
      </c>
      <c r="N34">
        <v>6</v>
      </c>
      <c r="R34">
        <v>11</v>
      </c>
      <c r="U34">
        <v>56</v>
      </c>
      <c r="V34">
        <v>8</v>
      </c>
      <c r="W34">
        <v>11</v>
      </c>
      <c r="AA34">
        <v>66</v>
      </c>
      <c r="AB34">
        <v>7</v>
      </c>
      <c r="AC34">
        <v>65</v>
      </c>
      <c r="AD34">
        <v>8</v>
      </c>
      <c r="AK34">
        <v>5</v>
      </c>
      <c r="AN34">
        <v>8</v>
      </c>
      <c r="AO34">
        <v>54</v>
      </c>
      <c r="AP34">
        <v>5</v>
      </c>
      <c r="AQ34">
        <v>4</v>
      </c>
      <c r="AS34">
        <v>73</v>
      </c>
      <c r="AV34">
        <v>9</v>
      </c>
      <c r="AY34">
        <v>12</v>
      </c>
      <c r="BA34">
        <v>33</v>
      </c>
      <c r="BB34">
        <v>90</v>
      </c>
      <c r="BD34">
        <v>5</v>
      </c>
      <c r="BF34">
        <v>3</v>
      </c>
      <c r="BH34">
        <v>7</v>
      </c>
      <c r="BK34">
        <v>5</v>
      </c>
    </row>
    <row r="35" spans="1:64" x14ac:dyDescent="0.3">
      <c r="A35">
        <v>2518.3330000000001</v>
      </c>
      <c r="C35">
        <v>16</v>
      </c>
      <c r="E35">
        <v>4</v>
      </c>
      <c r="G35">
        <v>6</v>
      </c>
      <c r="I35">
        <v>8</v>
      </c>
      <c r="J35">
        <v>11</v>
      </c>
      <c r="K35">
        <v>11</v>
      </c>
      <c r="L35">
        <v>5</v>
      </c>
      <c r="R35">
        <v>8</v>
      </c>
      <c r="U35">
        <v>60</v>
      </c>
      <c r="V35">
        <v>8</v>
      </c>
      <c r="W35">
        <v>23</v>
      </c>
      <c r="AA35">
        <v>59</v>
      </c>
      <c r="AB35">
        <v>5</v>
      </c>
      <c r="AC35">
        <v>64</v>
      </c>
      <c r="AD35">
        <v>7</v>
      </c>
      <c r="AK35">
        <v>7</v>
      </c>
      <c r="AN35">
        <v>9</v>
      </c>
      <c r="AO35">
        <v>50</v>
      </c>
      <c r="AQ35">
        <v>4</v>
      </c>
      <c r="AS35">
        <v>70</v>
      </c>
      <c r="AV35">
        <v>4</v>
      </c>
      <c r="AY35">
        <v>11</v>
      </c>
      <c r="BA35">
        <v>31</v>
      </c>
      <c r="BB35">
        <v>94</v>
      </c>
      <c r="BD35">
        <v>6</v>
      </c>
      <c r="BF35">
        <v>3</v>
      </c>
      <c r="BH35">
        <v>3</v>
      </c>
      <c r="BL35">
        <v>3</v>
      </c>
    </row>
    <row r="36" spans="1:64" x14ac:dyDescent="0.3">
      <c r="A36">
        <v>2565.6669999999999</v>
      </c>
      <c r="C36">
        <v>17</v>
      </c>
      <c r="E36">
        <v>2</v>
      </c>
      <c r="G36">
        <v>2</v>
      </c>
      <c r="I36">
        <v>10</v>
      </c>
      <c r="J36">
        <v>13</v>
      </c>
      <c r="K36">
        <v>8</v>
      </c>
      <c r="L36">
        <v>7</v>
      </c>
      <c r="R36">
        <v>15</v>
      </c>
      <c r="U36">
        <v>66</v>
      </c>
      <c r="V36">
        <v>10</v>
      </c>
      <c r="W36">
        <v>45</v>
      </c>
      <c r="Y36">
        <v>5</v>
      </c>
      <c r="AA36">
        <v>51</v>
      </c>
      <c r="AB36">
        <v>15</v>
      </c>
      <c r="AC36">
        <v>65</v>
      </c>
      <c r="AD36">
        <v>10</v>
      </c>
      <c r="AK36">
        <v>6</v>
      </c>
      <c r="AN36">
        <v>13</v>
      </c>
      <c r="AO36">
        <v>45</v>
      </c>
      <c r="AS36">
        <v>64</v>
      </c>
      <c r="AT36">
        <v>1</v>
      </c>
      <c r="AU36">
        <v>3</v>
      </c>
      <c r="AV36">
        <v>4</v>
      </c>
      <c r="AY36">
        <v>13</v>
      </c>
      <c r="BA36">
        <v>36</v>
      </c>
      <c r="BB36">
        <v>93</v>
      </c>
      <c r="BD36">
        <v>14</v>
      </c>
      <c r="BF36">
        <v>11</v>
      </c>
      <c r="BH36">
        <v>2</v>
      </c>
    </row>
    <row r="37" spans="1:64" x14ac:dyDescent="0.3">
      <c r="A37">
        <v>2613</v>
      </c>
      <c r="C37">
        <v>12</v>
      </c>
      <c r="G37">
        <v>2</v>
      </c>
      <c r="H37">
        <v>2</v>
      </c>
      <c r="I37">
        <v>11</v>
      </c>
      <c r="J37">
        <v>14</v>
      </c>
      <c r="K37">
        <v>31</v>
      </c>
      <c r="L37">
        <v>3</v>
      </c>
      <c r="Q37">
        <v>3</v>
      </c>
      <c r="R37">
        <v>17</v>
      </c>
      <c r="U37">
        <v>73</v>
      </c>
      <c r="V37">
        <v>9</v>
      </c>
      <c r="W37">
        <v>41</v>
      </c>
      <c r="AA37">
        <v>61</v>
      </c>
      <c r="AB37">
        <v>9</v>
      </c>
      <c r="AC37">
        <v>76</v>
      </c>
      <c r="AD37">
        <v>5</v>
      </c>
      <c r="AK37">
        <v>4</v>
      </c>
      <c r="AN37">
        <v>2</v>
      </c>
      <c r="AO37">
        <v>57</v>
      </c>
      <c r="AS37">
        <v>67</v>
      </c>
      <c r="AV37">
        <v>2</v>
      </c>
      <c r="AY37">
        <v>12</v>
      </c>
      <c r="BA37">
        <v>24</v>
      </c>
      <c r="BB37">
        <v>107</v>
      </c>
      <c r="BD37">
        <v>8</v>
      </c>
      <c r="BF37">
        <v>3</v>
      </c>
      <c r="BH37">
        <v>3</v>
      </c>
      <c r="BK37">
        <v>9</v>
      </c>
    </row>
    <row r="38" spans="1:64" x14ac:dyDescent="0.3">
      <c r="A38">
        <v>2660.3330000000001</v>
      </c>
      <c r="C38">
        <v>13</v>
      </c>
      <c r="E38">
        <v>5</v>
      </c>
      <c r="G38">
        <v>7</v>
      </c>
      <c r="I38">
        <v>9</v>
      </c>
      <c r="J38">
        <v>9</v>
      </c>
      <c r="K38">
        <v>11</v>
      </c>
      <c r="L38">
        <v>7</v>
      </c>
      <c r="U38">
        <v>70</v>
      </c>
      <c r="V38">
        <v>10</v>
      </c>
      <c r="W38">
        <v>44</v>
      </c>
      <c r="AA38">
        <v>50</v>
      </c>
      <c r="AB38">
        <v>12</v>
      </c>
      <c r="AC38">
        <v>60</v>
      </c>
      <c r="AD38">
        <v>5</v>
      </c>
      <c r="AE38">
        <v>7</v>
      </c>
      <c r="AK38">
        <v>5</v>
      </c>
      <c r="AN38">
        <v>9</v>
      </c>
      <c r="AO38">
        <v>50</v>
      </c>
      <c r="AQ38">
        <v>5</v>
      </c>
      <c r="AS38">
        <v>69</v>
      </c>
      <c r="AV38">
        <v>7</v>
      </c>
      <c r="AY38">
        <v>11</v>
      </c>
      <c r="BA38">
        <v>56</v>
      </c>
      <c r="BB38">
        <v>90</v>
      </c>
      <c r="BD38">
        <v>9</v>
      </c>
      <c r="BF38">
        <v>3</v>
      </c>
      <c r="BH38">
        <v>4</v>
      </c>
      <c r="BK38">
        <v>6</v>
      </c>
    </row>
    <row r="39" spans="1:64" x14ac:dyDescent="0.3">
      <c r="A39">
        <v>2707.6669999999999</v>
      </c>
      <c r="C39">
        <v>12</v>
      </c>
      <c r="I39">
        <v>11</v>
      </c>
      <c r="J39">
        <v>11</v>
      </c>
      <c r="K39">
        <v>12</v>
      </c>
      <c r="L39">
        <v>7</v>
      </c>
      <c r="R39">
        <v>9</v>
      </c>
      <c r="U39">
        <v>67</v>
      </c>
      <c r="V39">
        <v>7</v>
      </c>
      <c r="W39">
        <v>39</v>
      </c>
      <c r="AA39">
        <v>53</v>
      </c>
      <c r="AB39">
        <v>11</v>
      </c>
      <c r="AC39">
        <v>55</v>
      </c>
      <c r="AD39">
        <v>7</v>
      </c>
      <c r="AK39">
        <v>6</v>
      </c>
      <c r="AN39">
        <v>11</v>
      </c>
      <c r="AO39">
        <v>44</v>
      </c>
      <c r="AQ39">
        <v>6</v>
      </c>
      <c r="AS39">
        <v>58</v>
      </c>
      <c r="AV39">
        <v>5</v>
      </c>
      <c r="AY39">
        <v>12</v>
      </c>
      <c r="BA39">
        <v>67</v>
      </c>
      <c r="BB39">
        <v>85</v>
      </c>
      <c r="BD39">
        <v>8</v>
      </c>
      <c r="BF39">
        <v>6</v>
      </c>
      <c r="BH39">
        <v>6</v>
      </c>
      <c r="BK39">
        <v>8</v>
      </c>
    </row>
    <row r="40" spans="1:64" x14ac:dyDescent="0.3">
      <c r="A40">
        <v>2755</v>
      </c>
      <c r="C40">
        <v>11</v>
      </c>
      <c r="D40">
        <v>5</v>
      </c>
      <c r="E40">
        <v>5</v>
      </c>
      <c r="G40">
        <v>2</v>
      </c>
      <c r="I40">
        <v>5</v>
      </c>
      <c r="J40">
        <v>18</v>
      </c>
      <c r="K40">
        <v>12</v>
      </c>
      <c r="L40">
        <v>11</v>
      </c>
      <c r="Q40">
        <v>2</v>
      </c>
      <c r="U40">
        <v>58</v>
      </c>
      <c r="V40">
        <v>8</v>
      </c>
      <c r="W40">
        <v>14</v>
      </c>
      <c r="AA40">
        <v>48</v>
      </c>
      <c r="AB40">
        <v>9</v>
      </c>
      <c r="AC40">
        <v>57</v>
      </c>
      <c r="AD40">
        <v>3</v>
      </c>
      <c r="AL40">
        <v>3</v>
      </c>
      <c r="AN40">
        <v>12</v>
      </c>
      <c r="AO40">
        <v>41</v>
      </c>
      <c r="AS40">
        <v>52</v>
      </c>
      <c r="AY40">
        <v>14</v>
      </c>
      <c r="BA40">
        <v>71</v>
      </c>
      <c r="BB40">
        <v>81</v>
      </c>
      <c r="BD40">
        <v>5</v>
      </c>
      <c r="BH40">
        <v>2</v>
      </c>
      <c r="BK40">
        <v>5</v>
      </c>
    </row>
    <row r="41" spans="1:64" x14ac:dyDescent="0.3">
      <c r="A41">
        <v>2802.3330000000001</v>
      </c>
      <c r="C41">
        <v>9</v>
      </c>
      <c r="D41">
        <v>6</v>
      </c>
      <c r="E41">
        <v>6</v>
      </c>
      <c r="G41">
        <v>4</v>
      </c>
      <c r="I41">
        <v>8</v>
      </c>
      <c r="J41">
        <v>17</v>
      </c>
      <c r="K41">
        <v>11</v>
      </c>
      <c r="L41">
        <v>8</v>
      </c>
      <c r="Q41">
        <v>6</v>
      </c>
      <c r="U41">
        <v>62</v>
      </c>
      <c r="V41">
        <v>9</v>
      </c>
      <c r="W41">
        <v>21</v>
      </c>
      <c r="AA41">
        <v>57</v>
      </c>
      <c r="AB41">
        <v>6</v>
      </c>
      <c r="AC41">
        <v>55</v>
      </c>
      <c r="AD41">
        <v>5</v>
      </c>
      <c r="AE41">
        <v>7</v>
      </c>
      <c r="AN41">
        <v>8</v>
      </c>
      <c r="AO41">
        <v>39</v>
      </c>
      <c r="AS41">
        <v>48</v>
      </c>
      <c r="AV41">
        <v>7</v>
      </c>
      <c r="AY41">
        <v>13</v>
      </c>
      <c r="BA41">
        <v>74</v>
      </c>
      <c r="BB41">
        <v>93</v>
      </c>
      <c r="BD41">
        <v>6</v>
      </c>
      <c r="BH41">
        <v>4</v>
      </c>
      <c r="BK41">
        <v>9</v>
      </c>
    </row>
    <row r="42" spans="1:64" x14ac:dyDescent="0.3">
      <c r="A42">
        <v>2849.6669999999999</v>
      </c>
      <c r="C42">
        <v>16</v>
      </c>
      <c r="D42">
        <v>3</v>
      </c>
      <c r="E42">
        <v>2</v>
      </c>
      <c r="I42">
        <v>4</v>
      </c>
      <c r="J42">
        <v>11</v>
      </c>
      <c r="K42">
        <v>31</v>
      </c>
      <c r="L42">
        <v>13</v>
      </c>
      <c r="Q42">
        <v>4</v>
      </c>
      <c r="R42">
        <v>8</v>
      </c>
      <c r="U42">
        <v>72</v>
      </c>
      <c r="V42">
        <v>6</v>
      </c>
      <c r="W42">
        <v>33</v>
      </c>
      <c r="AA42">
        <v>84</v>
      </c>
      <c r="AB42">
        <v>9</v>
      </c>
      <c r="AC42">
        <v>56</v>
      </c>
      <c r="AD42">
        <v>4</v>
      </c>
      <c r="AE42">
        <v>8</v>
      </c>
      <c r="AK42">
        <v>4</v>
      </c>
      <c r="AN42">
        <v>5</v>
      </c>
      <c r="AO42">
        <v>56</v>
      </c>
      <c r="AS42">
        <v>63</v>
      </c>
      <c r="AV42">
        <v>9</v>
      </c>
      <c r="AW42">
        <v>6</v>
      </c>
      <c r="AY42">
        <v>12</v>
      </c>
      <c r="AZ42">
        <v>5</v>
      </c>
      <c r="BA42">
        <v>77</v>
      </c>
      <c r="BB42">
        <v>77</v>
      </c>
      <c r="BD42">
        <v>3</v>
      </c>
      <c r="BH42">
        <v>4</v>
      </c>
      <c r="BK42">
        <v>8</v>
      </c>
    </row>
    <row r="43" spans="1:64" x14ac:dyDescent="0.3">
      <c r="A43">
        <v>2897</v>
      </c>
      <c r="C43">
        <v>8</v>
      </c>
      <c r="E43">
        <v>6</v>
      </c>
      <c r="G43">
        <v>4</v>
      </c>
      <c r="I43">
        <v>7</v>
      </c>
      <c r="J43">
        <v>19</v>
      </c>
      <c r="K43">
        <v>9</v>
      </c>
      <c r="L43">
        <v>9</v>
      </c>
      <c r="U43">
        <v>61</v>
      </c>
      <c r="V43">
        <v>5</v>
      </c>
      <c r="W43">
        <v>19</v>
      </c>
      <c r="AA43">
        <v>61</v>
      </c>
      <c r="AB43">
        <v>9</v>
      </c>
      <c r="AC43">
        <v>50</v>
      </c>
      <c r="AD43">
        <v>5</v>
      </c>
      <c r="AE43">
        <v>4</v>
      </c>
      <c r="AL43">
        <v>6</v>
      </c>
      <c r="AN43">
        <v>11</v>
      </c>
      <c r="AO43">
        <v>50</v>
      </c>
      <c r="AS43">
        <v>50</v>
      </c>
      <c r="AY43">
        <v>11</v>
      </c>
      <c r="BA43">
        <v>68</v>
      </c>
      <c r="BB43">
        <v>89</v>
      </c>
      <c r="BD43">
        <v>4</v>
      </c>
      <c r="BH43">
        <v>4</v>
      </c>
      <c r="BK43">
        <v>5</v>
      </c>
    </row>
    <row r="44" spans="1:64" x14ac:dyDescent="0.3">
      <c r="A44">
        <v>2948.444</v>
      </c>
      <c r="C44">
        <v>9</v>
      </c>
      <c r="E44">
        <v>1</v>
      </c>
      <c r="G44">
        <v>4</v>
      </c>
      <c r="I44">
        <v>6</v>
      </c>
      <c r="J44">
        <v>17</v>
      </c>
      <c r="K44">
        <v>36</v>
      </c>
      <c r="L44">
        <v>4</v>
      </c>
      <c r="R44">
        <v>12</v>
      </c>
      <c r="U44">
        <v>72</v>
      </c>
      <c r="V44">
        <v>3</v>
      </c>
      <c r="W44">
        <v>50</v>
      </c>
      <c r="AA44">
        <v>66</v>
      </c>
      <c r="AB44">
        <v>12</v>
      </c>
      <c r="AC44">
        <v>52</v>
      </c>
      <c r="AD44">
        <v>3</v>
      </c>
      <c r="AE44">
        <v>8</v>
      </c>
      <c r="AF44">
        <v>4</v>
      </c>
      <c r="AK44">
        <v>2</v>
      </c>
      <c r="AN44">
        <v>9</v>
      </c>
      <c r="AO44">
        <v>62</v>
      </c>
      <c r="AQ44">
        <v>5</v>
      </c>
      <c r="AS44">
        <v>52</v>
      </c>
      <c r="AU44">
        <v>1</v>
      </c>
      <c r="AV44">
        <v>18</v>
      </c>
      <c r="AY44">
        <v>12</v>
      </c>
      <c r="BA44">
        <v>75</v>
      </c>
      <c r="BB44">
        <v>104</v>
      </c>
      <c r="BD44">
        <v>3</v>
      </c>
      <c r="BF44">
        <v>5</v>
      </c>
      <c r="BH44">
        <v>4</v>
      </c>
    </row>
    <row r="45" spans="1:64" x14ac:dyDescent="0.3">
      <c r="A45">
        <v>2999.8890000000001</v>
      </c>
      <c r="C45">
        <v>9</v>
      </c>
      <c r="D45">
        <v>2</v>
      </c>
      <c r="E45">
        <v>2</v>
      </c>
      <c r="G45">
        <v>1</v>
      </c>
      <c r="I45">
        <v>6</v>
      </c>
      <c r="J45">
        <v>16</v>
      </c>
      <c r="K45">
        <v>14</v>
      </c>
      <c r="L45">
        <v>11</v>
      </c>
      <c r="R45">
        <v>9</v>
      </c>
      <c r="U45">
        <v>57</v>
      </c>
      <c r="V45">
        <v>8</v>
      </c>
      <c r="W45">
        <v>28</v>
      </c>
      <c r="AA45">
        <v>68</v>
      </c>
      <c r="AB45">
        <v>12</v>
      </c>
      <c r="AC45">
        <v>38</v>
      </c>
      <c r="AD45">
        <v>6</v>
      </c>
      <c r="AE45">
        <v>3</v>
      </c>
      <c r="AK45">
        <v>10</v>
      </c>
      <c r="AN45">
        <v>12</v>
      </c>
      <c r="AO45">
        <v>63</v>
      </c>
      <c r="AQ45">
        <v>10</v>
      </c>
      <c r="AS45">
        <v>48</v>
      </c>
      <c r="AY45">
        <v>9</v>
      </c>
      <c r="BA45">
        <v>52</v>
      </c>
      <c r="BB45">
        <v>99</v>
      </c>
      <c r="BC45">
        <v>4</v>
      </c>
      <c r="BD45">
        <v>8</v>
      </c>
      <c r="BF45">
        <v>4</v>
      </c>
      <c r="BH45">
        <v>3</v>
      </c>
      <c r="BK45">
        <v>7</v>
      </c>
    </row>
    <row r="46" spans="1:64" x14ac:dyDescent="0.3">
      <c r="A46">
        <v>3051.3330000000001</v>
      </c>
      <c r="C46">
        <v>9</v>
      </c>
      <c r="D46">
        <v>2</v>
      </c>
      <c r="E46">
        <v>8</v>
      </c>
      <c r="G46">
        <v>4</v>
      </c>
      <c r="I46">
        <v>7</v>
      </c>
      <c r="J46">
        <v>14</v>
      </c>
      <c r="K46">
        <v>17</v>
      </c>
      <c r="S46">
        <v>7</v>
      </c>
      <c r="U46">
        <v>36</v>
      </c>
      <c r="V46">
        <v>7</v>
      </c>
      <c r="W46">
        <v>14</v>
      </c>
      <c r="X46">
        <v>4</v>
      </c>
      <c r="AA46">
        <v>75</v>
      </c>
      <c r="AB46">
        <v>3</v>
      </c>
      <c r="AC46">
        <v>42</v>
      </c>
      <c r="AD46">
        <v>2</v>
      </c>
      <c r="AE46">
        <v>11</v>
      </c>
      <c r="AF46">
        <v>3</v>
      </c>
      <c r="AN46">
        <v>5</v>
      </c>
      <c r="AO46">
        <v>81</v>
      </c>
      <c r="AQ46">
        <v>3</v>
      </c>
      <c r="AS46">
        <v>47</v>
      </c>
      <c r="AY46">
        <v>9</v>
      </c>
      <c r="AZ46">
        <v>2</v>
      </c>
      <c r="BA46">
        <v>68</v>
      </c>
      <c r="BB46">
        <v>115</v>
      </c>
      <c r="BD46">
        <v>7</v>
      </c>
      <c r="BF46">
        <v>9</v>
      </c>
      <c r="BH46">
        <v>4</v>
      </c>
      <c r="BK46">
        <v>4</v>
      </c>
    </row>
    <row r="47" spans="1:64" x14ac:dyDescent="0.3">
      <c r="A47">
        <v>3102.7779999999998</v>
      </c>
      <c r="C47">
        <v>12</v>
      </c>
      <c r="D47">
        <v>2</v>
      </c>
      <c r="E47">
        <v>4</v>
      </c>
      <c r="I47">
        <v>11</v>
      </c>
      <c r="J47">
        <v>8</v>
      </c>
      <c r="K47">
        <v>21</v>
      </c>
      <c r="L47">
        <v>9</v>
      </c>
      <c r="R47">
        <v>11</v>
      </c>
      <c r="U47">
        <v>50</v>
      </c>
      <c r="V47">
        <v>9</v>
      </c>
      <c r="W47">
        <v>20</v>
      </c>
      <c r="AA47">
        <v>50</v>
      </c>
      <c r="AB47">
        <v>4</v>
      </c>
      <c r="AC47">
        <v>40</v>
      </c>
      <c r="AD47">
        <v>3</v>
      </c>
      <c r="AE47">
        <v>17</v>
      </c>
      <c r="AF47">
        <v>3</v>
      </c>
      <c r="AH47">
        <v>4</v>
      </c>
      <c r="AK47">
        <v>5</v>
      </c>
      <c r="AN47">
        <v>9</v>
      </c>
      <c r="AO47">
        <v>91</v>
      </c>
      <c r="AQ47">
        <v>6</v>
      </c>
      <c r="AS47">
        <v>61</v>
      </c>
      <c r="AV47">
        <v>5</v>
      </c>
      <c r="AY47">
        <v>11</v>
      </c>
      <c r="BA47">
        <v>70</v>
      </c>
      <c r="BB47">
        <v>111</v>
      </c>
      <c r="BD47">
        <v>2</v>
      </c>
      <c r="BF47">
        <v>6</v>
      </c>
      <c r="BH47">
        <v>5</v>
      </c>
      <c r="BK47">
        <v>9</v>
      </c>
    </row>
    <row r="48" spans="1:64" x14ac:dyDescent="0.3">
      <c r="A48">
        <v>3154.2220000000002</v>
      </c>
      <c r="B48">
        <v>3</v>
      </c>
      <c r="C48">
        <v>12</v>
      </c>
      <c r="I48">
        <v>6</v>
      </c>
      <c r="J48">
        <v>17</v>
      </c>
      <c r="K48">
        <v>17</v>
      </c>
      <c r="N48">
        <v>2</v>
      </c>
      <c r="R48">
        <v>3</v>
      </c>
      <c r="U48">
        <v>84</v>
      </c>
      <c r="V48">
        <v>15</v>
      </c>
      <c r="W48">
        <v>21</v>
      </c>
      <c r="X48">
        <v>1</v>
      </c>
      <c r="AA48">
        <v>43</v>
      </c>
      <c r="AB48">
        <v>10</v>
      </c>
      <c r="AC48">
        <v>38</v>
      </c>
      <c r="AD48">
        <v>3</v>
      </c>
      <c r="AF48">
        <v>5</v>
      </c>
      <c r="AH48">
        <v>5</v>
      </c>
      <c r="AM48">
        <v>2</v>
      </c>
      <c r="AN48">
        <v>2</v>
      </c>
      <c r="AO48">
        <v>82</v>
      </c>
      <c r="AQ48">
        <v>6</v>
      </c>
      <c r="AS48">
        <v>66</v>
      </c>
      <c r="AV48">
        <v>12</v>
      </c>
      <c r="AY48">
        <v>17</v>
      </c>
      <c r="BA48">
        <v>62</v>
      </c>
      <c r="BB48">
        <v>107</v>
      </c>
      <c r="BD48">
        <v>7</v>
      </c>
      <c r="BH48">
        <v>2</v>
      </c>
      <c r="BK48">
        <v>6</v>
      </c>
    </row>
    <row r="49" spans="1:63" x14ac:dyDescent="0.3">
      <c r="A49">
        <v>3205.6669999999999</v>
      </c>
      <c r="B49">
        <v>2</v>
      </c>
      <c r="C49">
        <v>11</v>
      </c>
      <c r="I49">
        <v>8</v>
      </c>
      <c r="J49">
        <v>18</v>
      </c>
      <c r="K49">
        <v>20</v>
      </c>
      <c r="L49">
        <v>7</v>
      </c>
      <c r="R49">
        <v>6</v>
      </c>
      <c r="U49">
        <v>70</v>
      </c>
      <c r="V49">
        <v>10</v>
      </c>
      <c r="W49">
        <v>30</v>
      </c>
      <c r="AA49">
        <v>50</v>
      </c>
      <c r="AB49">
        <v>11</v>
      </c>
      <c r="AC49">
        <v>40</v>
      </c>
      <c r="AD49">
        <v>4</v>
      </c>
      <c r="AF49">
        <v>5</v>
      </c>
      <c r="AH49">
        <v>5</v>
      </c>
      <c r="AN49">
        <v>4</v>
      </c>
      <c r="AO49">
        <v>76</v>
      </c>
      <c r="AQ49">
        <v>5</v>
      </c>
      <c r="AS49">
        <v>62</v>
      </c>
      <c r="AV49">
        <v>9</v>
      </c>
      <c r="AY49">
        <v>10</v>
      </c>
      <c r="BA49">
        <v>84</v>
      </c>
      <c r="BB49">
        <v>109</v>
      </c>
      <c r="BD49">
        <v>9</v>
      </c>
      <c r="BH49">
        <v>4</v>
      </c>
      <c r="BK49">
        <v>6</v>
      </c>
    </row>
    <row r="50" spans="1:63" x14ac:dyDescent="0.3">
      <c r="A50">
        <v>3257.1109999999999</v>
      </c>
      <c r="C50">
        <v>25</v>
      </c>
      <c r="I50">
        <v>11</v>
      </c>
      <c r="J50">
        <v>6</v>
      </c>
      <c r="K50">
        <v>22</v>
      </c>
      <c r="Q50">
        <v>7</v>
      </c>
      <c r="R50">
        <v>3</v>
      </c>
      <c r="U50">
        <v>55</v>
      </c>
      <c r="V50">
        <v>2</v>
      </c>
      <c r="W50">
        <v>33</v>
      </c>
      <c r="AA50">
        <v>61</v>
      </c>
      <c r="AB50">
        <v>5</v>
      </c>
      <c r="AC50">
        <v>45</v>
      </c>
      <c r="AD50">
        <v>3</v>
      </c>
      <c r="AK50">
        <v>5</v>
      </c>
      <c r="AN50">
        <v>1</v>
      </c>
      <c r="AO50">
        <v>60</v>
      </c>
      <c r="AR50">
        <v>4</v>
      </c>
      <c r="AS50">
        <v>56</v>
      </c>
      <c r="AV50">
        <v>5</v>
      </c>
      <c r="AY50">
        <v>9</v>
      </c>
      <c r="BA50">
        <v>105</v>
      </c>
      <c r="BB50">
        <v>105</v>
      </c>
      <c r="BD50">
        <v>16</v>
      </c>
      <c r="BF50">
        <v>6</v>
      </c>
      <c r="BH50">
        <v>3</v>
      </c>
      <c r="BK50">
        <v>6</v>
      </c>
    </row>
    <row r="51" spans="1:63" x14ac:dyDescent="0.3">
      <c r="A51">
        <v>3308.556</v>
      </c>
      <c r="C51">
        <v>12</v>
      </c>
      <c r="D51">
        <v>1</v>
      </c>
      <c r="E51">
        <v>4</v>
      </c>
      <c r="I51">
        <v>11</v>
      </c>
      <c r="J51">
        <v>9</v>
      </c>
      <c r="K51">
        <v>20</v>
      </c>
      <c r="L51">
        <v>12</v>
      </c>
      <c r="Q51">
        <v>5</v>
      </c>
      <c r="R51">
        <v>12</v>
      </c>
      <c r="U51">
        <v>61</v>
      </c>
      <c r="V51">
        <v>4</v>
      </c>
      <c r="W51">
        <v>34</v>
      </c>
      <c r="AA51">
        <v>50</v>
      </c>
      <c r="AB51">
        <v>8</v>
      </c>
      <c r="AC51">
        <v>29</v>
      </c>
      <c r="AD51">
        <v>9</v>
      </c>
      <c r="AE51">
        <v>19</v>
      </c>
      <c r="AF51">
        <v>4</v>
      </c>
      <c r="AK51">
        <v>4</v>
      </c>
      <c r="AN51">
        <v>6</v>
      </c>
      <c r="AO51">
        <v>70</v>
      </c>
      <c r="AQ51">
        <v>4</v>
      </c>
      <c r="AS51">
        <v>70</v>
      </c>
      <c r="AV51">
        <v>9</v>
      </c>
      <c r="AX51">
        <v>3</v>
      </c>
      <c r="AY51">
        <v>4</v>
      </c>
      <c r="BA51">
        <v>70</v>
      </c>
      <c r="BB51">
        <v>111</v>
      </c>
      <c r="BD51">
        <v>11</v>
      </c>
      <c r="BF51">
        <v>6</v>
      </c>
      <c r="BH51">
        <v>6</v>
      </c>
      <c r="BK51">
        <v>5</v>
      </c>
    </row>
    <row r="52" spans="1:63" x14ac:dyDescent="0.3">
      <c r="A52">
        <v>3360</v>
      </c>
      <c r="C52">
        <v>14</v>
      </c>
      <c r="E52">
        <v>7</v>
      </c>
      <c r="G52">
        <v>3</v>
      </c>
      <c r="J52">
        <v>13</v>
      </c>
      <c r="K52">
        <v>22</v>
      </c>
      <c r="L52">
        <v>14</v>
      </c>
      <c r="R52">
        <v>7</v>
      </c>
      <c r="U52">
        <v>72</v>
      </c>
      <c r="V52">
        <v>8</v>
      </c>
      <c r="W52">
        <v>44</v>
      </c>
      <c r="AA52">
        <v>48</v>
      </c>
      <c r="AB52">
        <v>12</v>
      </c>
      <c r="AC52">
        <v>23</v>
      </c>
      <c r="AF52">
        <v>1</v>
      </c>
      <c r="AN52">
        <v>7</v>
      </c>
      <c r="AO52">
        <v>78</v>
      </c>
      <c r="AQ52">
        <v>7</v>
      </c>
      <c r="AS52">
        <v>93</v>
      </c>
      <c r="AV52">
        <v>5</v>
      </c>
      <c r="AY52">
        <v>8</v>
      </c>
      <c r="AZ52">
        <v>1</v>
      </c>
      <c r="BA52">
        <v>42</v>
      </c>
      <c r="BB52">
        <v>101</v>
      </c>
      <c r="BC52">
        <v>3</v>
      </c>
      <c r="BD52">
        <v>11</v>
      </c>
      <c r="BF52">
        <v>4</v>
      </c>
      <c r="BH52">
        <v>2</v>
      </c>
      <c r="BK52">
        <v>6</v>
      </c>
    </row>
    <row r="53" spans="1:63" x14ac:dyDescent="0.3">
      <c r="A53">
        <v>3394.2</v>
      </c>
      <c r="C53">
        <v>10</v>
      </c>
      <c r="D53">
        <v>2</v>
      </c>
      <c r="E53">
        <v>8</v>
      </c>
      <c r="F53">
        <v>10</v>
      </c>
      <c r="H53">
        <v>1</v>
      </c>
      <c r="I53">
        <v>2</v>
      </c>
      <c r="J53">
        <v>6</v>
      </c>
      <c r="K53">
        <v>11</v>
      </c>
      <c r="L53">
        <v>11</v>
      </c>
      <c r="Q53">
        <v>2</v>
      </c>
      <c r="R53">
        <v>13</v>
      </c>
      <c r="U53">
        <v>76</v>
      </c>
      <c r="V53">
        <v>3</v>
      </c>
      <c r="W53">
        <v>31</v>
      </c>
      <c r="AA53">
        <v>42</v>
      </c>
      <c r="AB53">
        <v>11</v>
      </c>
      <c r="AC53">
        <v>4</v>
      </c>
      <c r="AD53">
        <v>10</v>
      </c>
      <c r="AE53">
        <v>2</v>
      </c>
      <c r="AK53">
        <v>4</v>
      </c>
      <c r="AN53">
        <v>6</v>
      </c>
      <c r="AO53">
        <v>81</v>
      </c>
      <c r="AQ53">
        <v>8</v>
      </c>
      <c r="AS53">
        <v>81</v>
      </c>
      <c r="AV53">
        <v>8</v>
      </c>
      <c r="AY53">
        <v>8</v>
      </c>
      <c r="BA53">
        <v>19</v>
      </c>
      <c r="BB53">
        <v>126</v>
      </c>
      <c r="BC53">
        <v>2</v>
      </c>
      <c r="BD53">
        <v>5</v>
      </c>
      <c r="BF53">
        <v>4</v>
      </c>
      <c r="BH53">
        <v>7</v>
      </c>
      <c r="BK53">
        <v>6</v>
      </c>
    </row>
    <row r="54" spans="1:63" x14ac:dyDescent="0.3">
      <c r="A54">
        <v>3428.4</v>
      </c>
      <c r="C54">
        <v>13</v>
      </c>
      <c r="E54">
        <v>4</v>
      </c>
      <c r="F54">
        <v>5</v>
      </c>
      <c r="I54">
        <v>10</v>
      </c>
      <c r="J54">
        <v>12</v>
      </c>
      <c r="L54">
        <v>4</v>
      </c>
      <c r="R54">
        <v>11</v>
      </c>
      <c r="S54">
        <v>6</v>
      </c>
      <c r="U54">
        <v>91</v>
      </c>
      <c r="W54">
        <v>32</v>
      </c>
      <c r="X54">
        <v>4</v>
      </c>
      <c r="AA54">
        <v>70</v>
      </c>
      <c r="AB54">
        <v>8</v>
      </c>
      <c r="AC54">
        <v>2</v>
      </c>
      <c r="AD54">
        <v>7</v>
      </c>
      <c r="AE54">
        <v>18</v>
      </c>
      <c r="AF54">
        <v>4</v>
      </c>
      <c r="AG54">
        <v>3</v>
      </c>
      <c r="AK54">
        <v>8</v>
      </c>
      <c r="AN54">
        <v>12</v>
      </c>
      <c r="AO54">
        <v>90</v>
      </c>
      <c r="AQ54">
        <v>5</v>
      </c>
      <c r="AS54">
        <v>67</v>
      </c>
      <c r="AV54">
        <v>5</v>
      </c>
      <c r="AW54">
        <v>6</v>
      </c>
      <c r="AY54">
        <v>11</v>
      </c>
      <c r="AZ54">
        <v>3</v>
      </c>
      <c r="BA54">
        <v>18</v>
      </c>
      <c r="BB54">
        <v>121</v>
      </c>
      <c r="BH54">
        <v>3</v>
      </c>
      <c r="BK54">
        <v>7</v>
      </c>
    </row>
    <row r="55" spans="1:63" x14ac:dyDescent="0.3">
      <c r="A55">
        <v>3462.6</v>
      </c>
      <c r="C55">
        <v>16</v>
      </c>
      <c r="G55">
        <v>1</v>
      </c>
      <c r="I55">
        <v>7</v>
      </c>
      <c r="J55">
        <v>11</v>
      </c>
      <c r="K55">
        <v>14</v>
      </c>
      <c r="L55">
        <v>6</v>
      </c>
      <c r="R55">
        <v>11</v>
      </c>
      <c r="U55">
        <v>100</v>
      </c>
      <c r="W55">
        <v>35</v>
      </c>
      <c r="X55">
        <v>3</v>
      </c>
      <c r="AA55">
        <v>65</v>
      </c>
      <c r="AB55">
        <v>8</v>
      </c>
      <c r="AC55">
        <v>3</v>
      </c>
      <c r="AD55">
        <v>4</v>
      </c>
      <c r="AG55">
        <v>2</v>
      </c>
      <c r="AI55">
        <v>1</v>
      </c>
      <c r="AK55">
        <v>4</v>
      </c>
      <c r="AN55">
        <v>6</v>
      </c>
      <c r="AO55">
        <v>92</v>
      </c>
      <c r="AQ55">
        <v>5</v>
      </c>
      <c r="AS55">
        <v>67</v>
      </c>
      <c r="AU55">
        <v>1</v>
      </c>
      <c r="AV55">
        <v>7</v>
      </c>
      <c r="AY55">
        <v>3</v>
      </c>
      <c r="BA55">
        <v>40</v>
      </c>
      <c r="BB55">
        <v>115</v>
      </c>
      <c r="BD55">
        <v>5</v>
      </c>
      <c r="BK55">
        <v>6</v>
      </c>
    </row>
    <row r="56" spans="1:63" x14ac:dyDescent="0.3">
      <c r="A56">
        <v>3496.8</v>
      </c>
      <c r="C56">
        <v>12</v>
      </c>
      <c r="E56">
        <v>12</v>
      </c>
      <c r="I56">
        <v>5</v>
      </c>
      <c r="J56">
        <v>13</v>
      </c>
      <c r="K56">
        <v>11</v>
      </c>
      <c r="L56">
        <v>7</v>
      </c>
      <c r="R56">
        <v>10</v>
      </c>
      <c r="S56">
        <v>10</v>
      </c>
      <c r="U56">
        <v>98</v>
      </c>
      <c r="V56">
        <v>8</v>
      </c>
      <c r="W56">
        <v>23</v>
      </c>
      <c r="AA56">
        <v>25</v>
      </c>
      <c r="AB56">
        <v>10</v>
      </c>
      <c r="AC56">
        <v>1</v>
      </c>
      <c r="AD56">
        <v>3</v>
      </c>
      <c r="AE56">
        <v>1</v>
      </c>
      <c r="AG56">
        <v>8</v>
      </c>
      <c r="AH56">
        <v>8</v>
      </c>
      <c r="AN56">
        <v>10</v>
      </c>
      <c r="AO56">
        <v>101</v>
      </c>
      <c r="AS56">
        <v>57</v>
      </c>
      <c r="AV56">
        <v>3</v>
      </c>
      <c r="AW56">
        <v>7</v>
      </c>
      <c r="AY56">
        <v>10</v>
      </c>
      <c r="BA56">
        <v>19</v>
      </c>
      <c r="BB56">
        <v>117</v>
      </c>
      <c r="BG56">
        <v>2</v>
      </c>
    </row>
    <row r="57" spans="1:63" x14ac:dyDescent="0.3">
      <c r="A57">
        <v>3531</v>
      </c>
      <c r="C57">
        <v>22</v>
      </c>
      <c r="E57">
        <v>7</v>
      </c>
      <c r="I57">
        <v>9</v>
      </c>
      <c r="J57">
        <v>11</v>
      </c>
      <c r="K57">
        <v>16</v>
      </c>
      <c r="L57">
        <v>9</v>
      </c>
      <c r="R57">
        <v>7</v>
      </c>
      <c r="S57">
        <v>3</v>
      </c>
      <c r="U57">
        <v>128</v>
      </c>
      <c r="V57">
        <v>9</v>
      </c>
      <c r="W57">
        <v>40</v>
      </c>
      <c r="AA57">
        <v>57</v>
      </c>
      <c r="AC57">
        <v>2</v>
      </c>
      <c r="AD57">
        <v>9</v>
      </c>
      <c r="AG57">
        <v>2</v>
      </c>
      <c r="AK57">
        <v>8</v>
      </c>
      <c r="AN57">
        <v>10</v>
      </c>
      <c r="AO57">
        <v>88</v>
      </c>
      <c r="AQ57">
        <v>1</v>
      </c>
      <c r="AS57">
        <v>78</v>
      </c>
      <c r="AT57">
        <v>1</v>
      </c>
      <c r="AV57">
        <v>7</v>
      </c>
      <c r="AW57">
        <v>4</v>
      </c>
      <c r="AY57">
        <v>8</v>
      </c>
      <c r="AZ57">
        <v>1</v>
      </c>
      <c r="BA57">
        <v>52</v>
      </c>
      <c r="BB57">
        <v>130</v>
      </c>
      <c r="BD57">
        <v>4</v>
      </c>
      <c r="BH57">
        <v>3</v>
      </c>
    </row>
    <row r="58" spans="1:63" x14ac:dyDescent="0.3">
      <c r="A58">
        <v>4353.1670000000004</v>
      </c>
      <c r="C58">
        <v>22</v>
      </c>
      <c r="D58">
        <v>5</v>
      </c>
      <c r="E58">
        <v>5</v>
      </c>
      <c r="I58">
        <v>7</v>
      </c>
      <c r="J58">
        <v>14</v>
      </c>
      <c r="K58">
        <v>17</v>
      </c>
      <c r="L58">
        <v>11</v>
      </c>
      <c r="R58">
        <v>5</v>
      </c>
      <c r="S58">
        <v>4</v>
      </c>
      <c r="U58">
        <v>104</v>
      </c>
      <c r="V58">
        <v>7</v>
      </c>
      <c r="W58">
        <v>53</v>
      </c>
      <c r="AA58">
        <v>43</v>
      </c>
      <c r="AB58">
        <v>5</v>
      </c>
      <c r="AD58">
        <v>6</v>
      </c>
      <c r="AG58">
        <v>5</v>
      </c>
      <c r="AK58">
        <v>6</v>
      </c>
      <c r="AN58">
        <v>11</v>
      </c>
      <c r="AO58">
        <v>95</v>
      </c>
      <c r="AS58">
        <v>88</v>
      </c>
      <c r="AV58">
        <v>5</v>
      </c>
      <c r="AW58">
        <v>11</v>
      </c>
      <c r="AY58">
        <v>3</v>
      </c>
      <c r="BA58">
        <v>53</v>
      </c>
      <c r="BB58">
        <v>133</v>
      </c>
      <c r="BD58">
        <v>5</v>
      </c>
    </row>
    <row r="59" spans="1:63" x14ac:dyDescent="0.3">
      <c r="A59">
        <v>5175.3329999999996</v>
      </c>
      <c r="C59">
        <v>25</v>
      </c>
      <c r="D59">
        <v>6</v>
      </c>
      <c r="E59">
        <v>4</v>
      </c>
      <c r="I59">
        <v>5</v>
      </c>
      <c r="J59">
        <v>15</v>
      </c>
      <c r="K59">
        <v>21</v>
      </c>
      <c r="L59">
        <v>8</v>
      </c>
      <c r="R59">
        <v>11</v>
      </c>
      <c r="S59">
        <v>5</v>
      </c>
      <c r="U59">
        <v>99</v>
      </c>
      <c r="V59">
        <v>8</v>
      </c>
      <c r="W59">
        <v>39</v>
      </c>
      <c r="AA59">
        <v>48</v>
      </c>
      <c r="AB59">
        <v>7</v>
      </c>
      <c r="AD59">
        <v>6</v>
      </c>
      <c r="AG59">
        <v>5</v>
      </c>
      <c r="AK59">
        <v>6</v>
      </c>
      <c r="AN59">
        <v>12</v>
      </c>
      <c r="AO59">
        <v>99</v>
      </c>
      <c r="AS59">
        <v>81</v>
      </c>
      <c r="AV59">
        <v>14</v>
      </c>
      <c r="AW59">
        <v>27</v>
      </c>
      <c r="AY59">
        <v>4</v>
      </c>
      <c r="BA59">
        <v>32</v>
      </c>
      <c r="BB59">
        <v>122</v>
      </c>
      <c r="BC59">
        <v>6</v>
      </c>
      <c r="BD59">
        <v>8</v>
      </c>
      <c r="BG59">
        <v>4</v>
      </c>
    </row>
    <row r="60" spans="1:63" x14ac:dyDescent="0.3">
      <c r="A60">
        <v>5997.5</v>
      </c>
      <c r="C60">
        <v>20</v>
      </c>
      <c r="D60">
        <v>5</v>
      </c>
      <c r="E60">
        <v>5</v>
      </c>
      <c r="G60">
        <v>2</v>
      </c>
      <c r="I60">
        <v>12</v>
      </c>
      <c r="J60">
        <v>19</v>
      </c>
      <c r="K60">
        <v>18</v>
      </c>
      <c r="L60">
        <v>8</v>
      </c>
      <c r="N60">
        <v>6</v>
      </c>
      <c r="R60">
        <v>13</v>
      </c>
      <c r="U60">
        <v>86</v>
      </c>
      <c r="W60">
        <v>49</v>
      </c>
      <c r="AA60">
        <v>50</v>
      </c>
      <c r="AB60">
        <v>9</v>
      </c>
      <c r="AD60">
        <v>3</v>
      </c>
      <c r="AK60">
        <v>5</v>
      </c>
      <c r="AN60">
        <v>8</v>
      </c>
      <c r="AO60">
        <v>97</v>
      </c>
      <c r="AS60">
        <v>73</v>
      </c>
      <c r="AV60">
        <v>51</v>
      </c>
      <c r="AW60">
        <v>35</v>
      </c>
      <c r="AY60">
        <v>6</v>
      </c>
      <c r="BA60">
        <v>7</v>
      </c>
      <c r="BB60">
        <v>106</v>
      </c>
      <c r="BC60">
        <v>10</v>
      </c>
      <c r="BD60">
        <v>14</v>
      </c>
      <c r="BG60">
        <v>2</v>
      </c>
    </row>
    <row r="61" spans="1:63" x14ac:dyDescent="0.3">
      <c r="A61">
        <v>6819.6670000000004</v>
      </c>
      <c r="C61">
        <v>15</v>
      </c>
      <c r="D61">
        <v>4</v>
      </c>
      <c r="E61">
        <v>5</v>
      </c>
      <c r="I61">
        <v>12</v>
      </c>
      <c r="J61">
        <v>16</v>
      </c>
      <c r="K61">
        <v>21</v>
      </c>
      <c r="L61">
        <v>6</v>
      </c>
      <c r="R61">
        <v>11</v>
      </c>
      <c r="U61">
        <v>100</v>
      </c>
      <c r="W61">
        <v>21</v>
      </c>
      <c r="AA61">
        <v>60</v>
      </c>
      <c r="AB61">
        <v>9</v>
      </c>
      <c r="AC61">
        <v>1</v>
      </c>
      <c r="AD61">
        <v>5</v>
      </c>
      <c r="AE61">
        <v>2</v>
      </c>
      <c r="AK61">
        <v>6</v>
      </c>
      <c r="AN61">
        <v>5</v>
      </c>
      <c r="AO61">
        <v>95</v>
      </c>
      <c r="AS61">
        <v>78</v>
      </c>
      <c r="AV61">
        <v>53</v>
      </c>
      <c r="AW61">
        <v>29</v>
      </c>
      <c r="AY61">
        <v>8</v>
      </c>
      <c r="BA61">
        <v>8</v>
      </c>
      <c r="BB61">
        <v>120</v>
      </c>
      <c r="BD61">
        <v>8</v>
      </c>
      <c r="BG61">
        <v>4</v>
      </c>
      <c r="BK61">
        <v>9</v>
      </c>
    </row>
    <row r="62" spans="1:63" x14ac:dyDescent="0.3">
      <c r="A62">
        <v>7641.8329999999996</v>
      </c>
      <c r="C62">
        <v>17</v>
      </c>
      <c r="D62">
        <v>8</v>
      </c>
      <c r="E62">
        <v>3</v>
      </c>
      <c r="I62">
        <v>5</v>
      </c>
      <c r="J62">
        <v>16</v>
      </c>
      <c r="K62">
        <v>14</v>
      </c>
      <c r="L62">
        <v>8</v>
      </c>
      <c r="R62">
        <v>13</v>
      </c>
      <c r="U62">
        <v>102</v>
      </c>
      <c r="W62">
        <v>20</v>
      </c>
      <c r="AA62">
        <v>46</v>
      </c>
      <c r="AB62">
        <v>8</v>
      </c>
      <c r="AD62">
        <v>6</v>
      </c>
      <c r="AK62">
        <v>4</v>
      </c>
      <c r="AL62">
        <v>5</v>
      </c>
      <c r="AN62">
        <v>11</v>
      </c>
      <c r="AO62">
        <v>102</v>
      </c>
      <c r="AS62">
        <v>63</v>
      </c>
      <c r="AV62">
        <v>65</v>
      </c>
      <c r="AW62">
        <v>37</v>
      </c>
      <c r="AY62">
        <v>7</v>
      </c>
      <c r="BA62">
        <v>15</v>
      </c>
      <c r="BB62">
        <v>117</v>
      </c>
      <c r="BC62">
        <v>5</v>
      </c>
      <c r="BD62">
        <v>6</v>
      </c>
      <c r="BH62">
        <v>3</v>
      </c>
    </row>
    <row r="63" spans="1:63" x14ac:dyDescent="0.3">
      <c r="A63">
        <v>8464</v>
      </c>
      <c r="C63">
        <v>18</v>
      </c>
      <c r="D63">
        <v>5</v>
      </c>
      <c r="F63">
        <v>5</v>
      </c>
      <c r="J63">
        <v>12</v>
      </c>
      <c r="K63">
        <v>23</v>
      </c>
      <c r="L63">
        <v>12</v>
      </c>
      <c r="R63">
        <v>13</v>
      </c>
      <c r="U63">
        <v>98</v>
      </c>
      <c r="V63">
        <v>11</v>
      </c>
      <c r="W63">
        <v>19</v>
      </c>
      <c r="X63">
        <v>4</v>
      </c>
      <c r="AA63">
        <v>60</v>
      </c>
      <c r="AC63">
        <v>10</v>
      </c>
      <c r="AD63">
        <v>11</v>
      </c>
      <c r="AN63">
        <v>8</v>
      </c>
      <c r="AO63">
        <v>90</v>
      </c>
      <c r="AQ63">
        <v>6</v>
      </c>
      <c r="AS63">
        <v>70</v>
      </c>
      <c r="AV63">
        <v>13</v>
      </c>
      <c r="AY63">
        <v>9</v>
      </c>
      <c r="BA63">
        <v>32</v>
      </c>
      <c r="BB63">
        <v>92</v>
      </c>
      <c r="BC63">
        <v>9</v>
      </c>
      <c r="BD63">
        <v>11</v>
      </c>
      <c r="BF63">
        <v>4</v>
      </c>
      <c r="BH63">
        <v>5</v>
      </c>
    </row>
    <row r="64" spans="1:63" x14ac:dyDescent="0.3">
      <c r="A64">
        <v>9282.2000000000007</v>
      </c>
      <c r="C64">
        <v>19</v>
      </c>
      <c r="D64">
        <v>7</v>
      </c>
      <c r="F64">
        <v>6</v>
      </c>
      <c r="J64">
        <v>11</v>
      </c>
      <c r="K64">
        <v>17</v>
      </c>
      <c r="L64">
        <v>11</v>
      </c>
      <c r="R64">
        <v>11</v>
      </c>
      <c r="U64">
        <v>94</v>
      </c>
      <c r="V64">
        <v>9</v>
      </c>
      <c r="W64">
        <v>11</v>
      </c>
      <c r="X64">
        <v>3</v>
      </c>
      <c r="AA64">
        <v>57</v>
      </c>
      <c r="AB64">
        <v>3</v>
      </c>
      <c r="AD64">
        <v>10</v>
      </c>
      <c r="AN64">
        <v>9</v>
      </c>
      <c r="AO64">
        <v>88</v>
      </c>
      <c r="AQ64">
        <v>2</v>
      </c>
      <c r="AS64">
        <v>81</v>
      </c>
      <c r="AV64">
        <v>13</v>
      </c>
      <c r="AY64">
        <v>4</v>
      </c>
      <c r="BA64">
        <v>28</v>
      </c>
      <c r="BB64">
        <v>100</v>
      </c>
      <c r="BC64">
        <v>3</v>
      </c>
      <c r="BD64">
        <v>11</v>
      </c>
      <c r="BH64">
        <v>6</v>
      </c>
    </row>
    <row r="65" spans="1:63" x14ac:dyDescent="0.3">
      <c r="A65">
        <v>10100.4</v>
      </c>
      <c r="C65">
        <v>21</v>
      </c>
      <c r="D65">
        <v>2</v>
      </c>
      <c r="F65">
        <v>7</v>
      </c>
      <c r="I65">
        <v>11</v>
      </c>
      <c r="J65">
        <v>15</v>
      </c>
      <c r="K65">
        <v>25</v>
      </c>
      <c r="L65">
        <v>8</v>
      </c>
      <c r="R65">
        <v>16</v>
      </c>
      <c r="U65">
        <v>88</v>
      </c>
      <c r="V65">
        <v>7</v>
      </c>
      <c r="W65">
        <v>35</v>
      </c>
      <c r="X65">
        <v>4</v>
      </c>
      <c r="AA65">
        <v>48</v>
      </c>
      <c r="AB65">
        <v>8</v>
      </c>
      <c r="AC65">
        <v>11</v>
      </c>
      <c r="AD65">
        <v>8</v>
      </c>
      <c r="AK65">
        <v>6</v>
      </c>
      <c r="AN65">
        <v>8</v>
      </c>
      <c r="AO65">
        <v>83</v>
      </c>
      <c r="AQ65">
        <v>4</v>
      </c>
      <c r="AS65">
        <v>81</v>
      </c>
      <c r="AV65">
        <v>22</v>
      </c>
      <c r="AW65">
        <v>32</v>
      </c>
      <c r="AY65">
        <v>9</v>
      </c>
      <c r="BA65">
        <v>23</v>
      </c>
      <c r="BB65">
        <v>101</v>
      </c>
      <c r="BC65">
        <v>1</v>
      </c>
      <c r="BD65">
        <v>9</v>
      </c>
      <c r="BH65">
        <v>7</v>
      </c>
    </row>
    <row r="66" spans="1:63" x14ac:dyDescent="0.3">
      <c r="A66">
        <v>10918.6</v>
      </c>
      <c r="C66">
        <v>19</v>
      </c>
      <c r="E66">
        <v>9</v>
      </c>
      <c r="I66">
        <v>6</v>
      </c>
      <c r="J66">
        <v>19</v>
      </c>
      <c r="K66">
        <v>18</v>
      </c>
      <c r="N66">
        <v>8</v>
      </c>
      <c r="R66">
        <v>11</v>
      </c>
      <c r="U66">
        <v>73</v>
      </c>
      <c r="V66">
        <v>7</v>
      </c>
      <c r="W66">
        <v>46</v>
      </c>
      <c r="AA66">
        <v>40</v>
      </c>
      <c r="AB66">
        <v>17</v>
      </c>
      <c r="AF66">
        <v>8</v>
      </c>
      <c r="AK66">
        <v>6</v>
      </c>
      <c r="AN66">
        <v>8</v>
      </c>
      <c r="AO66">
        <v>71</v>
      </c>
      <c r="AS66">
        <v>79</v>
      </c>
      <c r="AV66">
        <v>65</v>
      </c>
      <c r="AW66">
        <v>42</v>
      </c>
      <c r="AY66">
        <v>17</v>
      </c>
      <c r="BA66">
        <v>9</v>
      </c>
      <c r="BB66">
        <v>99</v>
      </c>
      <c r="BC66">
        <v>7</v>
      </c>
      <c r="BD66">
        <v>9</v>
      </c>
      <c r="BH66">
        <v>2</v>
      </c>
    </row>
    <row r="67" spans="1:63" x14ac:dyDescent="0.3">
      <c r="A67">
        <v>11736.8</v>
      </c>
      <c r="C67">
        <v>14</v>
      </c>
      <c r="D67">
        <v>5</v>
      </c>
      <c r="I67">
        <v>8</v>
      </c>
      <c r="J67">
        <v>13</v>
      </c>
      <c r="K67">
        <v>12</v>
      </c>
      <c r="L67">
        <v>6</v>
      </c>
      <c r="R67">
        <v>12</v>
      </c>
      <c r="U67">
        <v>74</v>
      </c>
      <c r="V67">
        <v>8</v>
      </c>
      <c r="W67">
        <v>44</v>
      </c>
      <c r="X67">
        <v>5</v>
      </c>
      <c r="AA67">
        <v>55</v>
      </c>
      <c r="AB67">
        <v>11</v>
      </c>
      <c r="AC67">
        <v>6</v>
      </c>
      <c r="AF67">
        <v>6</v>
      </c>
      <c r="AK67">
        <v>7</v>
      </c>
      <c r="AN67">
        <v>5</v>
      </c>
      <c r="AO67">
        <v>70</v>
      </c>
      <c r="AQ67">
        <v>6</v>
      </c>
      <c r="AS67">
        <v>82</v>
      </c>
      <c r="AV67">
        <v>43</v>
      </c>
      <c r="AW67">
        <v>34</v>
      </c>
      <c r="AY67">
        <v>11</v>
      </c>
      <c r="BA67">
        <v>7</v>
      </c>
      <c r="BB67">
        <v>100</v>
      </c>
      <c r="BC67">
        <v>7</v>
      </c>
      <c r="BD67">
        <v>6</v>
      </c>
      <c r="BH67">
        <v>7</v>
      </c>
    </row>
    <row r="68" spans="1:63" x14ac:dyDescent="0.3">
      <c r="A68">
        <v>12555</v>
      </c>
      <c r="C68">
        <v>11</v>
      </c>
      <c r="D68">
        <v>7</v>
      </c>
      <c r="E68">
        <v>4</v>
      </c>
      <c r="I68">
        <v>11</v>
      </c>
      <c r="J68">
        <v>13</v>
      </c>
      <c r="K68">
        <v>11</v>
      </c>
      <c r="L68">
        <v>7</v>
      </c>
      <c r="R68">
        <v>15</v>
      </c>
      <c r="U68">
        <v>70</v>
      </c>
      <c r="V68">
        <v>8</v>
      </c>
      <c r="W68">
        <v>40</v>
      </c>
      <c r="X68">
        <v>4</v>
      </c>
      <c r="AA68">
        <v>60</v>
      </c>
      <c r="AB68">
        <v>9</v>
      </c>
      <c r="AC68">
        <v>1</v>
      </c>
      <c r="AF68">
        <v>5</v>
      </c>
      <c r="AH68">
        <v>4</v>
      </c>
      <c r="AK68">
        <v>9</v>
      </c>
      <c r="AN68">
        <v>11</v>
      </c>
      <c r="AO68">
        <v>68</v>
      </c>
      <c r="AQ68">
        <v>6</v>
      </c>
      <c r="AS68">
        <v>83</v>
      </c>
      <c r="AV68">
        <v>35</v>
      </c>
      <c r="AW68">
        <v>29</v>
      </c>
      <c r="AY68">
        <v>12</v>
      </c>
      <c r="BA68">
        <v>5</v>
      </c>
      <c r="BB68">
        <v>102</v>
      </c>
      <c r="BC68">
        <v>4</v>
      </c>
      <c r="BD68">
        <v>9</v>
      </c>
      <c r="BH68">
        <v>7</v>
      </c>
      <c r="BK68">
        <v>9</v>
      </c>
    </row>
    <row r="69" spans="1:63" x14ac:dyDescent="0.3">
      <c r="A69">
        <v>13373.2</v>
      </c>
      <c r="C69">
        <v>13</v>
      </c>
      <c r="D69">
        <v>14</v>
      </c>
      <c r="I69">
        <v>10</v>
      </c>
      <c r="J69">
        <v>14</v>
      </c>
      <c r="K69">
        <v>11</v>
      </c>
      <c r="L69">
        <v>16</v>
      </c>
      <c r="R69">
        <v>17</v>
      </c>
      <c r="U69">
        <v>65</v>
      </c>
      <c r="V69">
        <v>11</v>
      </c>
      <c r="W69">
        <v>34</v>
      </c>
      <c r="X69">
        <v>2</v>
      </c>
      <c r="AA69">
        <v>67</v>
      </c>
      <c r="AB69">
        <v>12</v>
      </c>
      <c r="AC69">
        <v>18</v>
      </c>
      <c r="AF69">
        <v>5</v>
      </c>
      <c r="AK69">
        <v>8</v>
      </c>
      <c r="AN69">
        <v>14</v>
      </c>
      <c r="AO69">
        <v>65</v>
      </c>
      <c r="AQ69">
        <v>3</v>
      </c>
      <c r="AS69">
        <v>78</v>
      </c>
      <c r="AV69">
        <v>11</v>
      </c>
      <c r="AY69">
        <v>14</v>
      </c>
      <c r="BA69">
        <v>58</v>
      </c>
      <c r="BB69">
        <v>93</v>
      </c>
      <c r="BC69">
        <v>4</v>
      </c>
      <c r="BD69">
        <v>11</v>
      </c>
      <c r="BH69">
        <v>5</v>
      </c>
    </row>
    <row r="70" spans="1:63" x14ac:dyDescent="0.3">
      <c r="A70">
        <v>14191.4</v>
      </c>
      <c r="C70">
        <v>15</v>
      </c>
      <c r="E70">
        <v>13</v>
      </c>
      <c r="I70">
        <v>9</v>
      </c>
      <c r="J70">
        <v>17</v>
      </c>
      <c r="K70">
        <v>11</v>
      </c>
      <c r="N70">
        <v>8</v>
      </c>
      <c r="R70">
        <v>9</v>
      </c>
      <c r="U70">
        <v>69</v>
      </c>
      <c r="V70">
        <v>9</v>
      </c>
      <c r="W70">
        <v>54</v>
      </c>
      <c r="AA70">
        <v>44</v>
      </c>
      <c r="AB70">
        <v>11</v>
      </c>
      <c r="AC70">
        <v>1</v>
      </c>
      <c r="AF70">
        <v>5</v>
      </c>
      <c r="AK70">
        <v>7</v>
      </c>
      <c r="AN70">
        <v>5</v>
      </c>
      <c r="AO70">
        <v>71</v>
      </c>
      <c r="AS70">
        <v>80</v>
      </c>
      <c r="AV70">
        <v>68</v>
      </c>
      <c r="AW70">
        <v>43</v>
      </c>
      <c r="AY70">
        <v>11</v>
      </c>
      <c r="BA70">
        <v>8</v>
      </c>
      <c r="BB70">
        <v>100</v>
      </c>
      <c r="BC70">
        <v>9</v>
      </c>
      <c r="BD70">
        <v>7</v>
      </c>
      <c r="BH70">
        <v>5</v>
      </c>
    </row>
    <row r="71" spans="1:63" x14ac:dyDescent="0.3">
      <c r="A71">
        <v>15009.6</v>
      </c>
      <c r="C71">
        <v>12</v>
      </c>
      <c r="E71">
        <v>3</v>
      </c>
      <c r="I71">
        <v>9</v>
      </c>
      <c r="J71">
        <v>12</v>
      </c>
      <c r="K71">
        <v>14</v>
      </c>
      <c r="L71">
        <v>11</v>
      </c>
      <c r="N71">
        <v>5</v>
      </c>
      <c r="R71">
        <v>4</v>
      </c>
      <c r="U71">
        <v>70</v>
      </c>
      <c r="V71">
        <v>8</v>
      </c>
      <c r="W71">
        <v>57</v>
      </c>
      <c r="AA71">
        <v>46</v>
      </c>
      <c r="AB71">
        <v>12</v>
      </c>
      <c r="AC71">
        <v>2</v>
      </c>
      <c r="AF71">
        <v>6</v>
      </c>
      <c r="AK71">
        <v>6</v>
      </c>
      <c r="AN71">
        <v>8</v>
      </c>
      <c r="AO71">
        <v>70</v>
      </c>
      <c r="AS71">
        <v>83</v>
      </c>
      <c r="AV71">
        <v>50</v>
      </c>
      <c r="AW71">
        <v>42</v>
      </c>
      <c r="AY71">
        <v>12</v>
      </c>
      <c r="BA71">
        <v>8</v>
      </c>
      <c r="BB71">
        <v>101</v>
      </c>
      <c r="BC71">
        <v>3</v>
      </c>
      <c r="BD71">
        <v>7</v>
      </c>
      <c r="BH71">
        <v>3</v>
      </c>
    </row>
    <row r="72" spans="1:63" x14ac:dyDescent="0.3">
      <c r="A72">
        <v>15827.8</v>
      </c>
      <c r="C72">
        <v>11</v>
      </c>
      <c r="D72">
        <v>3</v>
      </c>
      <c r="E72">
        <v>5</v>
      </c>
      <c r="I72">
        <v>12</v>
      </c>
      <c r="J72">
        <v>15</v>
      </c>
      <c r="K72">
        <v>13</v>
      </c>
      <c r="L72">
        <v>11</v>
      </c>
      <c r="N72">
        <v>8</v>
      </c>
      <c r="R72">
        <v>8</v>
      </c>
      <c r="U72">
        <v>72</v>
      </c>
      <c r="V72">
        <v>8</v>
      </c>
      <c r="W72">
        <v>50</v>
      </c>
      <c r="AA72">
        <v>51</v>
      </c>
      <c r="AB72">
        <v>11</v>
      </c>
      <c r="AC72">
        <v>2</v>
      </c>
      <c r="AK72">
        <v>6</v>
      </c>
      <c r="AL72">
        <v>5</v>
      </c>
      <c r="AN72">
        <v>9</v>
      </c>
      <c r="AO72">
        <v>72</v>
      </c>
      <c r="AS72">
        <v>89</v>
      </c>
      <c r="AV72">
        <v>44</v>
      </c>
      <c r="AW72">
        <v>42</v>
      </c>
      <c r="AY72">
        <v>11</v>
      </c>
      <c r="BA72">
        <v>2</v>
      </c>
      <c r="BB72">
        <v>103</v>
      </c>
      <c r="BC72">
        <v>8</v>
      </c>
      <c r="BD72">
        <v>7</v>
      </c>
      <c r="BH72">
        <v>4</v>
      </c>
      <c r="BK72">
        <v>11</v>
      </c>
    </row>
    <row r="73" spans="1:63" x14ac:dyDescent="0.3">
      <c r="A73">
        <v>16646</v>
      </c>
      <c r="C73">
        <v>11</v>
      </c>
      <c r="E73">
        <v>8</v>
      </c>
      <c r="I73">
        <v>11</v>
      </c>
      <c r="J73">
        <v>9</v>
      </c>
      <c r="K73">
        <v>11</v>
      </c>
      <c r="L73">
        <v>8</v>
      </c>
      <c r="N73">
        <v>7</v>
      </c>
      <c r="R73">
        <v>6</v>
      </c>
      <c r="U73">
        <v>73</v>
      </c>
      <c r="V73">
        <v>7</v>
      </c>
      <c r="W73">
        <v>48</v>
      </c>
      <c r="AA73">
        <v>44</v>
      </c>
      <c r="AB73">
        <v>11</v>
      </c>
      <c r="AC73">
        <v>3</v>
      </c>
      <c r="AE73">
        <v>3</v>
      </c>
      <c r="AF73">
        <v>4</v>
      </c>
      <c r="AK73">
        <v>9</v>
      </c>
      <c r="AN73">
        <v>9</v>
      </c>
      <c r="AO73">
        <v>70</v>
      </c>
      <c r="AS73">
        <v>80</v>
      </c>
      <c r="AV73">
        <v>30</v>
      </c>
      <c r="AW73">
        <v>38</v>
      </c>
      <c r="AY73">
        <v>11</v>
      </c>
      <c r="BA73">
        <v>7</v>
      </c>
      <c r="BB73">
        <v>105</v>
      </c>
      <c r="BC73">
        <v>4</v>
      </c>
      <c r="BD73">
        <v>6</v>
      </c>
      <c r="BH73">
        <v>7</v>
      </c>
      <c r="BK73">
        <v>4</v>
      </c>
    </row>
    <row r="74" spans="1:63" x14ac:dyDescent="0.3">
      <c r="A74">
        <v>16691.25</v>
      </c>
      <c r="C74">
        <v>14</v>
      </c>
      <c r="D74">
        <v>5</v>
      </c>
      <c r="E74">
        <v>9</v>
      </c>
      <c r="I74">
        <v>6</v>
      </c>
      <c r="J74">
        <v>11</v>
      </c>
      <c r="K74">
        <v>9</v>
      </c>
      <c r="N74">
        <v>5</v>
      </c>
      <c r="R74">
        <v>6</v>
      </c>
      <c r="U74">
        <v>75</v>
      </c>
      <c r="V74">
        <v>9</v>
      </c>
      <c r="W74">
        <v>50</v>
      </c>
      <c r="AA74">
        <v>50</v>
      </c>
      <c r="AB74">
        <v>12</v>
      </c>
      <c r="AC74">
        <v>1</v>
      </c>
      <c r="AF74">
        <v>2</v>
      </c>
      <c r="AH74">
        <v>3</v>
      </c>
      <c r="AI74">
        <v>1</v>
      </c>
      <c r="AK74">
        <v>11</v>
      </c>
      <c r="AN74">
        <v>8</v>
      </c>
      <c r="AO74">
        <v>74</v>
      </c>
      <c r="AS74">
        <v>89</v>
      </c>
      <c r="AV74">
        <v>23</v>
      </c>
      <c r="AW74">
        <v>41</v>
      </c>
      <c r="AY74">
        <v>15</v>
      </c>
      <c r="BA74">
        <v>2</v>
      </c>
      <c r="BB74">
        <v>111</v>
      </c>
      <c r="BC74">
        <v>5</v>
      </c>
      <c r="BD74">
        <v>8</v>
      </c>
      <c r="BH74">
        <v>6</v>
      </c>
      <c r="BK74">
        <v>6</v>
      </c>
    </row>
    <row r="75" spans="1:63" x14ac:dyDescent="0.3">
      <c r="A75">
        <v>16736.5</v>
      </c>
      <c r="C75">
        <v>15</v>
      </c>
      <c r="E75">
        <v>9</v>
      </c>
      <c r="I75">
        <v>8</v>
      </c>
      <c r="J75">
        <v>17</v>
      </c>
      <c r="K75">
        <v>12</v>
      </c>
      <c r="N75">
        <v>6</v>
      </c>
      <c r="R75">
        <v>6</v>
      </c>
      <c r="U75">
        <v>70</v>
      </c>
      <c r="V75">
        <v>11</v>
      </c>
      <c r="W75">
        <v>56</v>
      </c>
      <c r="AA75">
        <v>45</v>
      </c>
      <c r="AB75">
        <v>8</v>
      </c>
      <c r="AC75">
        <v>2</v>
      </c>
      <c r="AF75">
        <v>6</v>
      </c>
      <c r="AH75">
        <v>3</v>
      </c>
      <c r="AK75">
        <v>9</v>
      </c>
      <c r="AN75">
        <v>7</v>
      </c>
      <c r="AO75">
        <v>70</v>
      </c>
      <c r="AS75">
        <v>86</v>
      </c>
      <c r="AV75">
        <v>19</v>
      </c>
      <c r="AW75">
        <v>44</v>
      </c>
      <c r="AY75">
        <v>9</v>
      </c>
      <c r="BA75">
        <v>8</v>
      </c>
      <c r="BB75">
        <v>102</v>
      </c>
      <c r="BC75">
        <v>4</v>
      </c>
      <c r="BD75">
        <v>5</v>
      </c>
      <c r="BH75">
        <v>6</v>
      </c>
    </row>
    <row r="76" spans="1:63" x14ac:dyDescent="0.3">
      <c r="A76">
        <v>16781.75</v>
      </c>
      <c r="C76">
        <v>12</v>
      </c>
      <c r="E76">
        <v>17</v>
      </c>
      <c r="J76">
        <v>20</v>
      </c>
      <c r="K76">
        <v>15</v>
      </c>
      <c r="N76">
        <v>6</v>
      </c>
      <c r="R76">
        <v>8</v>
      </c>
      <c r="U76">
        <v>68</v>
      </c>
      <c r="V76">
        <v>5</v>
      </c>
      <c r="W76">
        <v>41</v>
      </c>
      <c r="AA76">
        <v>47</v>
      </c>
      <c r="AB76">
        <v>19</v>
      </c>
      <c r="AC76">
        <v>8</v>
      </c>
      <c r="AK76">
        <v>7</v>
      </c>
      <c r="AN76">
        <v>17</v>
      </c>
      <c r="AO76">
        <v>66</v>
      </c>
      <c r="AQ76">
        <v>3</v>
      </c>
      <c r="AS76">
        <v>73</v>
      </c>
      <c r="AV76">
        <v>12</v>
      </c>
      <c r="AW76">
        <v>2</v>
      </c>
      <c r="AY76">
        <v>19</v>
      </c>
      <c r="BA76">
        <v>38</v>
      </c>
      <c r="BB76">
        <v>83</v>
      </c>
      <c r="BC76">
        <v>1</v>
      </c>
      <c r="BD76">
        <v>6</v>
      </c>
      <c r="BG76">
        <v>2</v>
      </c>
      <c r="BH76">
        <v>2</v>
      </c>
    </row>
    <row r="77" spans="1:63" x14ac:dyDescent="0.3">
      <c r="A77">
        <v>16827</v>
      </c>
      <c r="C77">
        <v>6</v>
      </c>
      <c r="D77">
        <v>8</v>
      </c>
      <c r="E77">
        <v>17</v>
      </c>
      <c r="G77">
        <v>3</v>
      </c>
      <c r="I77">
        <v>12</v>
      </c>
      <c r="J77">
        <v>24</v>
      </c>
      <c r="K77">
        <v>16</v>
      </c>
      <c r="L77">
        <v>7</v>
      </c>
      <c r="N77">
        <v>6</v>
      </c>
      <c r="R77">
        <v>11</v>
      </c>
      <c r="U77">
        <v>26</v>
      </c>
      <c r="V77">
        <v>5</v>
      </c>
      <c r="AA77">
        <v>67</v>
      </c>
      <c r="AB77">
        <v>9</v>
      </c>
      <c r="AE77">
        <v>7</v>
      </c>
      <c r="AJ77">
        <v>6</v>
      </c>
      <c r="AK77">
        <v>6</v>
      </c>
      <c r="AN77">
        <v>13</v>
      </c>
      <c r="AO77">
        <v>94</v>
      </c>
      <c r="AS77">
        <v>106</v>
      </c>
      <c r="AY77">
        <v>18</v>
      </c>
      <c r="BB77">
        <v>75</v>
      </c>
      <c r="BD77">
        <v>4</v>
      </c>
    </row>
    <row r="78" spans="1:63" x14ac:dyDescent="0.3">
      <c r="A78">
        <v>17952.5</v>
      </c>
      <c r="C78">
        <v>11</v>
      </c>
      <c r="D78">
        <v>6</v>
      </c>
      <c r="E78">
        <v>11</v>
      </c>
      <c r="G78">
        <v>7</v>
      </c>
      <c r="I78">
        <v>12</v>
      </c>
      <c r="J78">
        <v>23</v>
      </c>
      <c r="K78">
        <v>12</v>
      </c>
      <c r="L78">
        <v>11</v>
      </c>
      <c r="N78">
        <v>8</v>
      </c>
      <c r="R78">
        <v>4</v>
      </c>
      <c r="U78">
        <v>34</v>
      </c>
      <c r="V78">
        <v>8</v>
      </c>
      <c r="W78">
        <v>12</v>
      </c>
      <c r="AA78">
        <v>56</v>
      </c>
      <c r="AB78">
        <v>11</v>
      </c>
      <c r="AJ78">
        <v>6</v>
      </c>
      <c r="AK78">
        <v>4</v>
      </c>
      <c r="AN78">
        <v>11</v>
      </c>
      <c r="AO78">
        <v>99</v>
      </c>
      <c r="AS78">
        <v>108</v>
      </c>
      <c r="AV78">
        <v>11</v>
      </c>
      <c r="AW78">
        <v>2</v>
      </c>
      <c r="AY78">
        <v>11</v>
      </c>
      <c r="BA78">
        <v>34</v>
      </c>
      <c r="BB78">
        <v>65</v>
      </c>
      <c r="BC78">
        <v>1</v>
      </c>
      <c r="BD78">
        <v>7</v>
      </c>
      <c r="BH78">
        <v>5</v>
      </c>
    </row>
    <row r="79" spans="1:63" x14ac:dyDescent="0.3">
      <c r="A79">
        <v>19078</v>
      </c>
      <c r="C79">
        <v>9</v>
      </c>
      <c r="D79">
        <v>9</v>
      </c>
      <c r="E79">
        <v>6</v>
      </c>
      <c r="G79">
        <v>8</v>
      </c>
      <c r="I79">
        <v>13</v>
      </c>
      <c r="J79">
        <v>22</v>
      </c>
      <c r="K79">
        <v>11</v>
      </c>
      <c r="L79">
        <v>9</v>
      </c>
      <c r="N79">
        <v>7</v>
      </c>
      <c r="R79">
        <v>7</v>
      </c>
      <c r="U79">
        <v>28</v>
      </c>
      <c r="W79">
        <v>8</v>
      </c>
      <c r="AA79">
        <v>50</v>
      </c>
      <c r="AB79">
        <v>8</v>
      </c>
      <c r="AJ79">
        <v>7</v>
      </c>
      <c r="AK79">
        <v>2</v>
      </c>
      <c r="AN79">
        <v>12</v>
      </c>
      <c r="AO79">
        <v>100</v>
      </c>
      <c r="AS79">
        <v>118</v>
      </c>
      <c r="AV79">
        <v>9</v>
      </c>
      <c r="AY79">
        <v>9</v>
      </c>
      <c r="BA79">
        <v>23</v>
      </c>
      <c r="BB79">
        <v>66</v>
      </c>
      <c r="BD79">
        <v>9</v>
      </c>
    </row>
    <row r="80" spans="1:63" x14ac:dyDescent="0.3">
      <c r="A80">
        <v>20203.5</v>
      </c>
      <c r="C80">
        <v>15</v>
      </c>
      <c r="D80">
        <v>13</v>
      </c>
      <c r="E80">
        <v>2</v>
      </c>
      <c r="G80">
        <v>12</v>
      </c>
      <c r="I80">
        <v>6</v>
      </c>
      <c r="J80">
        <v>22</v>
      </c>
      <c r="K80">
        <v>13</v>
      </c>
      <c r="N80">
        <v>11</v>
      </c>
      <c r="O80">
        <v>3</v>
      </c>
      <c r="Q80">
        <v>6</v>
      </c>
      <c r="R80">
        <v>5</v>
      </c>
      <c r="U80">
        <v>32</v>
      </c>
      <c r="W80">
        <v>8</v>
      </c>
      <c r="AA80">
        <v>45</v>
      </c>
      <c r="AB80">
        <v>10</v>
      </c>
      <c r="AJ80">
        <v>8</v>
      </c>
      <c r="AK80">
        <v>3</v>
      </c>
      <c r="AN80">
        <v>10</v>
      </c>
      <c r="AO80">
        <v>105</v>
      </c>
      <c r="AS80">
        <v>109</v>
      </c>
      <c r="AV80">
        <v>8</v>
      </c>
      <c r="AY80">
        <v>10</v>
      </c>
      <c r="BA80">
        <v>37</v>
      </c>
      <c r="BB80">
        <v>70</v>
      </c>
      <c r="BC80">
        <v>11</v>
      </c>
      <c r="BD80">
        <v>13</v>
      </c>
    </row>
    <row r="81" spans="1:63" x14ac:dyDescent="0.3">
      <c r="A81">
        <v>21329</v>
      </c>
      <c r="C81">
        <v>12</v>
      </c>
      <c r="D81">
        <v>3</v>
      </c>
      <c r="E81">
        <v>4</v>
      </c>
      <c r="F81">
        <v>1</v>
      </c>
      <c r="I81">
        <v>11</v>
      </c>
      <c r="J81">
        <v>21</v>
      </c>
      <c r="K81">
        <v>17</v>
      </c>
      <c r="L81">
        <v>8</v>
      </c>
      <c r="N81">
        <v>5</v>
      </c>
      <c r="R81">
        <v>11</v>
      </c>
      <c r="U81">
        <v>40</v>
      </c>
      <c r="V81">
        <v>5</v>
      </c>
      <c r="W81">
        <v>9</v>
      </c>
      <c r="AA81">
        <v>46</v>
      </c>
      <c r="AB81">
        <v>3</v>
      </c>
      <c r="AC81">
        <v>1</v>
      </c>
      <c r="AD81">
        <v>5</v>
      </c>
      <c r="AE81">
        <v>3</v>
      </c>
      <c r="AG81">
        <v>1</v>
      </c>
      <c r="AJ81">
        <v>3</v>
      </c>
      <c r="AK81">
        <v>7</v>
      </c>
      <c r="AN81">
        <v>9</v>
      </c>
      <c r="AO81">
        <v>112</v>
      </c>
      <c r="AS81">
        <v>100</v>
      </c>
      <c r="AV81">
        <v>4</v>
      </c>
      <c r="AW81">
        <v>7</v>
      </c>
      <c r="AY81">
        <v>5</v>
      </c>
      <c r="BB81">
        <v>100</v>
      </c>
      <c r="BC81">
        <v>4</v>
      </c>
      <c r="BD81">
        <v>9</v>
      </c>
      <c r="BH81">
        <v>5</v>
      </c>
      <c r="BK81">
        <v>6</v>
      </c>
    </row>
    <row r="82" spans="1:63" x14ac:dyDescent="0.3">
      <c r="A82">
        <v>22454.5</v>
      </c>
      <c r="C82">
        <v>14</v>
      </c>
      <c r="D82">
        <v>4</v>
      </c>
      <c r="E82">
        <v>4</v>
      </c>
      <c r="G82">
        <v>6</v>
      </c>
      <c r="I82">
        <v>8</v>
      </c>
      <c r="J82">
        <v>15</v>
      </c>
      <c r="K82">
        <v>19</v>
      </c>
      <c r="N82">
        <v>3</v>
      </c>
      <c r="Q82">
        <v>4</v>
      </c>
      <c r="R82">
        <v>11</v>
      </c>
      <c r="U82">
        <v>66</v>
      </c>
      <c r="W82">
        <v>9</v>
      </c>
      <c r="AA82">
        <v>36</v>
      </c>
      <c r="AB82">
        <v>7</v>
      </c>
      <c r="AJ82">
        <v>8</v>
      </c>
      <c r="AK82">
        <v>6</v>
      </c>
      <c r="AN82">
        <v>8</v>
      </c>
      <c r="AO82">
        <v>110</v>
      </c>
      <c r="AS82">
        <v>105</v>
      </c>
      <c r="AV82">
        <v>5</v>
      </c>
      <c r="AW82">
        <v>8</v>
      </c>
      <c r="AY82">
        <v>9</v>
      </c>
      <c r="BA82">
        <v>11</v>
      </c>
      <c r="BB82">
        <v>80</v>
      </c>
      <c r="BC82">
        <v>7</v>
      </c>
      <c r="BD82">
        <v>5</v>
      </c>
      <c r="BK82">
        <v>4</v>
      </c>
    </row>
    <row r="83" spans="1:63" x14ac:dyDescent="0.3">
      <c r="A83">
        <v>23580</v>
      </c>
      <c r="C83">
        <v>17</v>
      </c>
      <c r="D83">
        <v>12</v>
      </c>
      <c r="E83">
        <v>8</v>
      </c>
      <c r="G83">
        <v>3</v>
      </c>
      <c r="I83">
        <v>8</v>
      </c>
      <c r="J83">
        <v>17</v>
      </c>
      <c r="M83">
        <v>2</v>
      </c>
      <c r="N83">
        <v>8</v>
      </c>
      <c r="R83">
        <v>22</v>
      </c>
      <c r="U83">
        <v>77</v>
      </c>
      <c r="W83">
        <v>32</v>
      </c>
      <c r="AA83">
        <v>32</v>
      </c>
      <c r="AB83">
        <v>7</v>
      </c>
      <c r="AC83">
        <v>2</v>
      </c>
      <c r="AE83">
        <v>7</v>
      </c>
      <c r="AJ83">
        <v>3</v>
      </c>
      <c r="AK83">
        <v>3</v>
      </c>
      <c r="AN83">
        <v>10</v>
      </c>
      <c r="AO83">
        <v>117</v>
      </c>
      <c r="AS83">
        <v>102</v>
      </c>
      <c r="AV83">
        <v>11</v>
      </c>
      <c r="AW83">
        <v>3</v>
      </c>
      <c r="BA83">
        <v>17</v>
      </c>
      <c r="BB83">
        <v>87</v>
      </c>
      <c r="BC83">
        <v>4</v>
      </c>
      <c r="BD83">
        <v>6</v>
      </c>
      <c r="BK83">
        <v>3</v>
      </c>
    </row>
    <row r="84" spans="1:63" x14ac:dyDescent="0.3">
      <c r="A84">
        <v>23911.27</v>
      </c>
      <c r="C84">
        <v>9</v>
      </c>
      <c r="D84">
        <v>3</v>
      </c>
      <c r="E84">
        <v>2</v>
      </c>
      <c r="G84">
        <v>3</v>
      </c>
      <c r="I84">
        <v>11</v>
      </c>
      <c r="J84">
        <v>18</v>
      </c>
      <c r="K84">
        <v>21</v>
      </c>
      <c r="N84">
        <v>7</v>
      </c>
      <c r="R84">
        <v>21</v>
      </c>
      <c r="U84">
        <v>25</v>
      </c>
      <c r="W84">
        <v>15</v>
      </c>
      <c r="AA84">
        <v>59</v>
      </c>
      <c r="AB84">
        <v>6</v>
      </c>
      <c r="AJ84">
        <v>4</v>
      </c>
      <c r="AK84">
        <v>8</v>
      </c>
      <c r="AN84">
        <v>8</v>
      </c>
      <c r="AO84">
        <v>128</v>
      </c>
      <c r="AS84">
        <v>120</v>
      </c>
      <c r="AV84">
        <v>11</v>
      </c>
      <c r="AW84">
        <v>9</v>
      </c>
      <c r="AY84">
        <v>5</v>
      </c>
      <c r="BA84">
        <v>12</v>
      </c>
      <c r="BB84">
        <v>80</v>
      </c>
      <c r="BC84">
        <v>5</v>
      </c>
      <c r="BD84">
        <v>2</v>
      </c>
      <c r="BH84">
        <v>3</v>
      </c>
      <c r="BK84">
        <v>7</v>
      </c>
    </row>
    <row r="85" spans="1:63" x14ac:dyDescent="0.3">
      <c r="A85">
        <v>24242.54</v>
      </c>
      <c r="C85">
        <v>11</v>
      </c>
      <c r="D85">
        <v>6</v>
      </c>
      <c r="E85">
        <v>8</v>
      </c>
      <c r="G85">
        <v>11</v>
      </c>
      <c r="I85">
        <v>8</v>
      </c>
      <c r="J85">
        <v>25</v>
      </c>
      <c r="K85">
        <v>17</v>
      </c>
      <c r="N85">
        <v>16</v>
      </c>
      <c r="R85">
        <v>7</v>
      </c>
      <c r="U85">
        <v>31</v>
      </c>
      <c r="W85">
        <v>5</v>
      </c>
      <c r="AA85">
        <v>89</v>
      </c>
      <c r="AB85">
        <v>11</v>
      </c>
      <c r="AJ85">
        <v>7</v>
      </c>
      <c r="AK85">
        <v>3</v>
      </c>
      <c r="AN85">
        <v>9</v>
      </c>
      <c r="AO85">
        <v>110</v>
      </c>
      <c r="AS85">
        <v>125</v>
      </c>
      <c r="AV85">
        <v>6</v>
      </c>
      <c r="AY85">
        <v>8</v>
      </c>
      <c r="BA85">
        <v>21</v>
      </c>
      <c r="BB85">
        <v>84</v>
      </c>
      <c r="BD85">
        <v>5</v>
      </c>
      <c r="BK85">
        <v>8</v>
      </c>
    </row>
    <row r="86" spans="1:63" x14ac:dyDescent="0.3">
      <c r="A86">
        <v>24573.82</v>
      </c>
      <c r="C86">
        <v>13</v>
      </c>
      <c r="D86">
        <v>6</v>
      </c>
      <c r="E86">
        <v>6</v>
      </c>
      <c r="G86">
        <v>13</v>
      </c>
      <c r="I86">
        <v>4</v>
      </c>
      <c r="J86">
        <v>24</v>
      </c>
      <c r="K86">
        <v>15</v>
      </c>
      <c r="N86">
        <v>14</v>
      </c>
      <c r="Q86">
        <v>7</v>
      </c>
      <c r="R86">
        <v>10</v>
      </c>
      <c r="U86">
        <v>22</v>
      </c>
      <c r="W86">
        <v>6</v>
      </c>
      <c r="AA86">
        <v>98</v>
      </c>
      <c r="AB86">
        <v>14</v>
      </c>
      <c r="AJ86">
        <v>9</v>
      </c>
      <c r="AK86">
        <v>8</v>
      </c>
      <c r="AN86">
        <v>8</v>
      </c>
      <c r="AO86">
        <v>108</v>
      </c>
      <c r="AS86">
        <v>119</v>
      </c>
      <c r="AV86">
        <v>7</v>
      </c>
      <c r="AY86">
        <v>11</v>
      </c>
      <c r="BA86">
        <v>16</v>
      </c>
      <c r="BB86">
        <v>75</v>
      </c>
      <c r="BC86">
        <v>6</v>
      </c>
      <c r="BD86">
        <v>8</v>
      </c>
    </row>
    <row r="87" spans="1:63" x14ac:dyDescent="0.3">
      <c r="A87">
        <v>24905.09</v>
      </c>
      <c r="C87">
        <v>7</v>
      </c>
      <c r="D87">
        <v>9</v>
      </c>
      <c r="E87">
        <v>7</v>
      </c>
      <c r="G87">
        <v>12</v>
      </c>
      <c r="I87">
        <v>9</v>
      </c>
      <c r="J87">
        <v>23</v>
      </c>
      <c r="K87">
        <v>15</v>
      </c>
      <c r="L87">
        <v>11</v>
      </c>
      <c r="N87">
        <v>16</v>
      </c>
      <c r="Q87">
        <v>8</v>
      </c>
      <c r="R87">
        <v>13</v>
      </c>
      <c r="U87">
        <v>15</v>
      </c>
      <c r="W87">
        <v>9</v>
      </c>
      <c r="AA87">
        <v>97</v>
      </c>
      <c r="AB87">
        <v>11</v>
      </c>
      <c r="AE87">
        <v>7</v>
      </c>
      <c r="AJ87">
        <v>8</v>
      </c>
      <c r="AK87">
        <v>5</v>
      </c>
      <c r="AN87">
        <v>8</v>
      </c>
      <c r="AO87">
        <v>105</v>
      </c>
      <c r="AS87">
        <v>129</v>
      </c>
      <c r="AV87">
        <v>11</v>
      </c>
      <c r="AY87">
        <v>12</v>
      </c>
      <c r="BA87">
        <v>11</v>
      </c>
      <c r="BB87">
        <v>70</v>
      </c>
      <c r="BC87">
        <v>5</v>
      </c>
      <c r="BD87">
        <v>6</v>
      </c>
    </row>
    <row r="88" spans="1:63" x14ac:dyDescent="0.3">
      <c r="A88">
        <v>25070.73</v>
      </c>
      <c r="C88">
        <v>8</v>
      </c>
      <c r="D88">
        <v>12</v>
      </c>
      <c r="E88">
        <v>2</v>
      </c>
      <c r="G88">
        <v>12</v>
      </c>
      <c r="I88">
        <v>11</v>
      </c>
      <c r="J88">
        <v>20</v>
      </c>
      <c r="K88">
        <v>11</v>
      </c>
      <c r="N88">
        <v>11</v>
      </c>
      <c r="Q88">
        <v>2</v>
      </c>
      <c r="R88">
        <v>17</v>
      </c>
      <c r="U88">
        <v>17</v>
      </c>
      <c r="W88">
        <v>9</v>
      </c>
      <c r="AA88">
        <v>90</v>
      </c>
      <c r="AB88">
        <v>2</v>
      </c>
      <c r="AJ88">
        <v>4</v>
      </c>
      <c r="AK88">
        <v>3</v>
      </c>
      <c r="AO88">
        <v>121</v>
      </c>
      <c r="AS88">
        <v>132</v>
      </c>
      <c r="AV88">
        <v>13</v>
      </c>
      <c r="AY88">
        <v>4</v>
      </c>
      <c r="BA88">
        <v>3</v>
      </c>
      <c r="BB88">
        <v>68</v>
      </c>
      <c r="BC88">
        <v>1</v>
      </c>
      <c r="BD88">
        <v>4</v>
      </c>
    </row>
    <row r="89" spans="1:63" x14ac:dyDescent="0.3">
      <c r="A89">
        <v>26041.67</v>
      </c>
      <c r="C89">
        <v>11</v>
      </c>
      <c r="D89">
        <v>11</v>
      </c>
      <c r="E89">
        <v>8</v>
      </c>
      <c r="G89">
        <v>11</v>
      </c>
      <c r="I89">
        <v>7</v>
      </c>
      <c r="J89">
        <v>26</v>
      </c>
      <c r="K89">
        <v>17</v>
      </c>
      <c r="L89">
        <v>8</v>
      </c>
      <c r="N89">
        <v>12</v>
      </c>
      <c r="Q89">
        <v>8</v>
      </c>
      <c r="R89">
        <v>7</v>
      </c>
      <c r="U89">
        <v>15</v>
      </c>
      <c r="V89">
        <v>7</v>
      </c>
      <c r="W89">
        <v>9</v>
      </c>
      <c r="AA89">
        <v>89</v>
      </c>
      <c r="AB89">
        <v>11</v>
      </c>
      <c r="AJ89">
        <v>8</v>
      </c>
      <c r="AK89">
        <v>6</v>
      </c>
      <c r="AN89">
        <v>4</v>
      </c>
      <c r="AO89">
        <v>100</v>
      </c>
      <c r="AS89">
        <v>117</v>
      </c>
      <c r="AV89">
        <v>11</v>
      </c>
      <c r="AW89">
        <v>8</v>
      </c>
      <c r="AY89">
        <v>9</v>
      </c>
      <c r="BA89">
        <v>8</v>
      </c>
      <c r="BB89">
        <v>69</v>
      </c>
      <c r="BC89">
        <v>6</v>
      </c>
      <c r="BD89">
        <v>5</v>
      </c>
    </row>
    <row r="90" spans="1:63" x14ac:dyDescent="0.3">
      <c r="A90">
        <v>27321</v>
      </c>
      <c r="C90">
        <v>9</v>
      </c>
      <c r="D90">
        <v>13</v>
      </c>
      <c r="G90">
        <v>9</v>
      </c>
      <c r="H90">
        <v>7</v>
      </c>
      <c r="J90">
        <v>28</v>
      </c>
      <c r="K90">
        <v>16</v>
      </c>
      <c r="N90">
        <v>5</v>
      </c>
      <c r="P90">
        <v>2</v>
      </c>
      <c r="U90">
        <v>17</v>
      </c>
      <c r="W90">
        <v>12</v>
      </c>
      <c r="AA90">
        <v>80</v>
      </c>
      <c r="AB90">
        <v>25</v>
      </c>
      <c r="AD90">
        <v>9</v>
      </c>
      <c r="AF90">
        <v>7</v>
      </c>
      <c r="AJ90">
        <v>12</v>
      </c>
      <c r="AK90">
        <v>5</v>
      </c>
      <c r="AN90">
        <v>3</v>
      </c>
      <c r="AO90">
        <v>102</v>
      </c>
      <c r="AS90">
        <v>110</v>
      </c>
      <c r="AV90">
        <v>10</v>
      </c>
      <c r="AY90">
        <v>5</v>
      </c>
      <c r="BA90">
        <v>4</v>
      </c>
      <c r="BB90">
        <v>61</v>
      </c>
      <c r="BC90">
        <v>4</v>
      </c>
      <c r="BD90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571A-3FFC-4233-9C71-CB9B40856876}">
  <dimension ref="A1:AY27"/>
  <sheetViews>
    <sheetView workbookViewId="0">
      <selection activeCell="H16" sqref="H16"/>
    </sheetView>
  </sheetViews>
  <sheetFormatPr defaultColWidth="11.5546875" defaultRowHeight="14.4" x14ac:dyDescent="0.3"/>
  <sheetData>
    <row r="1" spans="1:51" x14ac:dyDescent="0.3">
      <c r="A1" t="s">
        <v>617</v>
      </c>
      <c r="B1" t="s">
        <v>88</v>
      </c>
      <c r="C1" t="s">
        <v>561</v>
      </c>
      <c r="D1" t="s">
        <v>562</v>
      </c>
      <c r="E1" t="s">
        <v>563</v>
      </c>
      <c r="F1" t="s">
        <v>103</v>
      </c>
      <c r="G1" t="s">
        <v>564</v>
      </c>
      <c r="H1" t="s">
        <v>565</v>
      </c>
      <c r="I1" t="s">
        <v>566</v>
      </c>
      <c r="J1" t="s">
        <v>618</v>
      </c>
      <c r="K1" t="s">
        <v>119</v>
      </c>
      <c r="L1" t="s">
        <v>568</v>
      </c>
      <c r="M1" t="s">
        <v>569</v>
      </c>
      <c r="N1" t="s">
        <v>619</v>
      </c>
      <c r="O1" t="s">
        <v>571</v>
      </c>
      <c r="P1" t="s">
        <v>572</v>
      </c>
      <c r="Q1" t="s">
        <v>620</v>
      </c>
      <c r="R1" t="s">
        <v>574</v>
      </c>
      <c r="S1" t="s">
        <v>621</v>
      </c>
      <c r="T1" t="s">
        <v>622</v>
      </c>
      <c r="U1" t="s">
        <v>623</v>
      </c>
      <c r="V1" t="s">
        <v>578</v>
      </c>
      <c r="W1" t="s">
        <v>579</v>
      </c>
      <c r="X1" t="s">
        <v>95</v>
      </c>
      <c r="Y1" t="s">
        <v>624</v>
      </c>
      <c r="Z1" t="s">
        <v>625</v>
      </c>
      <c r="AA1" t="s">
        <v>582</v>
      </c>
      <c r="AB1" t="s">
        <v>113</v>
      </c>
      <c r="AC1" t="s">
        <v>102</v>
      </c>
      <c r="AD1" t="s">
        <v>626</v>
      </c>
      <c r="AE1" t="s">
        <v>585</v>
      </c>
      <c r="AF1" t="s">
        <v>588</v>
      </c>
      <c r="AG1" t="s">
        <v>627</v>
      </c>
      <c r="AH1" t="s">
        <v>590</v>
      </c>
      <c r="AI1" t="s">
        <v>410</v>
      </c>
      <c r="AJ1" t="s">
        <v>592</v>
      </c>
      <c r="AK1" t="s">
        <v>593</v>
      </c>
      <c r="AL1" t="s">
        <v>594</v>
      </c>
      <c r="AM1" t="s">
        <v>628</v>
      </c>
      <c r="AN1" t="s">
        <v>629</v>
      </c>
      <c r="AO1" t="s">
        <v>100</v>
      </c>
      <c r="AP1" t="s">
        <v>604</v>
      </c>
      <c r="AQ1" t="s">
        <v>605</v>
      </c>
      <c r="AR1" t="s">
        <v>630</v>
      </c>
      <c r="AS1" t="s">
        <v>436</v>
      </c>
      <c r="AT1" t="s">
        <v>609</v>
      </c>
      <c r="AU1" t="s">
        <v>610</v>
      </c>
      <c r="AV1" t="s">
        <v>120</v>
      </c>
      <c r="AW1" t="s">
        <v>612</v>
      </c>
      <c r="AX1" t="s">
        <v>631</v>
      </c>
      <c r="AY1" t="s">
        <v>614</v>
      </c>
    </row>
    <row r="2" spans="1:51" x14ac:dyDescent="0.3">
      <c r="A2" t="s">
        <v>632</v>
      </c>
      <c r="B2">
        <v>10100.4</v>
      </c>
      <c r="C2">
        <v>0</v>
      </c>
      <c r="D2">
        <v>3.3707865168539325E-2</v>
      </c>
      <c r="E2">
        <v>3.2102728731942215E-3</v>
      </c>
      <c r="F2">
        <v>0</v>
      </c>
      <c r="G2">
        <v>1.1235955056179775E-2</v>
      </c>
      <c r="H2">
        <v>0</v>
      </c>
      <c r="I2">
        <v>0</v>
      </c>
      <c r="J2">
        <v>1.7656500802568219E-2</v>
      </c>
      <c r="K2">
        <v>2.4077046548956663E-2</v>
      </c>
      <c r="L2">
        <v>4.0128410914927769E-2</v>
      </c>
      <c r="M2">
        <v>1.2841091492776886E-2</v>
      </c>
      <c r="N2">
        <v>0</v>
      </c>
      <c r="O2">
        <v>0</v>
      </c>
      <c r="P2">
        <v>0</v>
      </c>
      <c r="Q2">
        <v>0</v>
      </c>
      <c r="R2">
        <v>0</v>
      </c>
      <c r="S2">
        <v>2.5682182985553772E-2</v>
      </c>
      <c r="T2">
        <v>0</v>
      </c>
      <c r="U2">
        <v>0</v>
      </c>
      <c r="V2">
        <v>0.14125200642054575</v>
      </c>
      <c r="W2">
        <v>1.1235955056179775E-2</v>
      </c>
      <c r="X2">
        <v>5.6179775280898875E-2</v>
      </c>
      <c r="Y2">
        <v>6.420545746388443E-3</v>
      </c>
      <c r="Z2">
        <v>0</v>
      </c>
      <c r="AA2">
        <v>0</v>
      </c>
      <c r="AB2">
        <v>7.7046548956661312E-2</v>
      </c>
      <c r="AC2">
        <v>1.2841091492776886E-2</v>
      </c>
      <c r="AD2">
        <v>1.7656500802568219E-2</v>
      </c>
      <c r="AE2">
        <v>1.2841091492776886E-2</v>
      </c>
      <c r="AF2">
        <v>0</v>
      </c>
      <c r="AG2">
        <v>0</v>
      </c>
      <c r="AH2">
        <v>0</v>
      </c>
      <c r="AI2">
        <v>0</v>
      </c>
      <c r="AJ2">
        <v>9.630818619582664E-3</v>
      </c>
      <c r="AK2">
        <v>0</v>
      </c>
      <c r="AL2">
        <v>0</v>
      </c>
      <c r="AM2">
        <v>0.14606741573033707</v>
      </c>
      <c r="AN2">
        <v>6.420545746388443E-3</v>
      </c>
      <c r="AO2">
        <v>0.13001605136436598</v>
      </c>
      <c r="AP2">
        <v>0</v>
      </c>
      <c r="AQ2">
        <v>1.4446227929373997E-2</v>
      </c>
      <c r="AR2">
        <v>0.16211878009630817</v>
      </c>
      <c r="AS2">
        <v>1.6051364365971107E-3</v>
      </c>
      <c r="AT2">
        <v>1.4446227929373997E-2</v>
      </c>
      <c r="AU2">
        <v>0</v>
      </c>
      <c r="AV2">
        <v>0</v>
      </c>
      <c r="AW2">
        <v>1.1235955056179775E-2</v>
      </c>
      <c r="AX2">
        <v>0</v>
      </c>
      <c r="AY2">
        <v>0</v>
      </c>
    </row>
    <row r="3" spans="1:51" x14ac:dyDescent="0.3">
      <c r="A3" t="s">
        <v>632</v>
      </c>
      <c r="B3">
        <v>10918.6</v>
      </c>
      <c r="C3">
        <v>0</v>
      </c>
      <c r="D3">
        <v>3.3274956217162872E-2</v>
      </c>
      <c r="E3">
        <v>0</v>
      </c>
      <c r="F3">
        <v>1.5761821366024518E-2</v>
      </c>
      <c r="G3">
        <v>0</v>
      </c>
      <c r="H3">
        <v>0</v>
      </c>
      <c r="I3">
        <v>0</v>
      </c>
      <c r="J3">
        <v>1.0507880910683012E-2</v>
      </c>
      <c r="K3">
        <v>3.3274956217162872E-2</v>
      </c>
      <c r="L3">
        <v>3.1523642732049037E-2</v>
      </c>
      <c r="M3">
        <v>0</v>
      </c>
      <c r="N3">
        <v>0</v>
      </c>
      <c r="O3">
        <v>1.4010507880910683E-2</v>
      </c>
      <c r="P3">
        <v>0</v>
      </c>
      <c r="Q3">
        <v>0</v>
      </c>
      <c r="R3">
        <v>0</v>
      </c>
      <c r="S3">
        <v>1.9264448336252189E-2</v>
      </c>
      <c r="T3">
        <v>0</v>
      </c>
      <c r="U3">
        <v>0</v>
      </c>
      <c r="V3">
        <v>0.12784588441330999</v>
      </c>
      <c r="W3">
        <v>1.2259194395796848E-2</v>
      </c>
      <c r="X3">
        <v>8.0560420315236428E-2</v>
      </c>
      <c r="Y3">
        <v>0</v>
      </c>
      <c r="Z3">
        <v>0</v>
      </c>
      <c r="AA3">
        <v>0</v>
      </c>
      <c r="AB3">
        <v>7.0052539404553416E-2</v>
      </c>
      <c r="AC3">
        <v>2.9772329246935202E-2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1.0507880910683012E-2</v>
      </c>
      <c r="AK3">
        <v>0</v>
      </c>
      <c r="AL3">
        <v>0</v>
      </c>
      <c r="AM3">
        <v>0.13835376532399299</v>
      </c>
      <c r="AN3">
        <v>0</v>
      </c>
      <c r="AO3">
        <v>0.13835376532399299</v>
      </c>
      <c r="AP3">
        <v>0</v>
      </c>
      <c r="AQ3">
        <v>2.9772329246935202E-2</v>
      </c>
      <c r="AR3">
        <v>0.1733800350262697</v>
      </c>
      <c r="AS3">
        <v>1.2259194395796848E-2</v>
      </c>
      <c r="AT3">
        <v>1.5761821366024518E-2</v>
      </c>
      <c r="AU3">
        <v>0</v>
      </c>
      <c r="AV3">
        <v>0</v>
      </c>
      <c r="AW3">
        <v>3.5026269702276708E-3</v>
      </c>
      <c r="AX3">
        <v>0</v>
      </c>
      <c r="AY3">
        <v>0</v>
      </c>
    </row>
    <row r="4" spans="1:51" x14ac:dyDescent="0.3">
      <c r="A4" t="s">
        <v>632</v>
      </c>
      <c r="B4">
        <v>11736.8</v>
      </c>
      <c r="C4">
        <v>0</v>
      </c>
      <c r="D4">
        <v>2.4390243902439025E-2</v>
      </c>
      <c r="E4">
        <v>8.7108013937282226E-3</v>
      </c>
      <c r="F4">
        <v>0</v>
      </c>
      <c r="G4">
        <v>0</v>
      </c>
      <c r="H4">
        <v>0</v>
      </c>
      <c r="I4">
        <v>0</v>
      </c>
      <c r="J4">
        <v>1.3937282229965157E-2</v>
      </c>
      <c r="K4">
        <v>2.2648083623693381E-2</v>
      </c>
      <c r="L4">
        <v>2.0905923344947737E-2</v>
      </c>
      <c r="M4">
        <v>1.0452961672473868E-2</v>
      </c>
      <c r="N4">
        <v>0</v>
      </c>
      <c r="O4">
        <v>0</v>
      </c>
      <c r="P4">
        <v>0</v>
      </c>
      <c r="Q4">
        <v>0</v>
      </c>
      <c r="R4">
        <v>0</v>
      </c>
      <c r="S4">
        <v>2.0905923344947737E-2</v>
      </c>
      <c r="T4">
        <v>0</v>
      </c>
      <c r="U4">
        <v>0</v>
      </c>
      <c r="V4">
        <v>0.1289198606271777</v>
      </c>
      <c r="W4">
        <v>1.3937282229965157E-2</v>
      </c>
      <c r="X4">
        <v>7.6655052264808357E-2</v>
      </c>
      <c r="Y4">
        <v>8.7108013937282226E-3</v>
      </c>
      <c r="Z4">
        <v>0</v>
      </c>
      <c r="AA4">
        <v>0</v>
      </c>
      <c r="AB4">
        <v>9.5818815331010457E-2</v>
      </c>
      <c r="AC4">
        <v>1.9163763066202089E-2</v>
      </c>
      <c r="AD4">
        <v>1.0452961672473868E-2</v>
      </c>
      <c r="AE4">
        <v>0</v>
      </c>
      <c r="AF4">
        <v>0</v>
      </c>
      <c r="AG4">
        <v>0</v>
      </c>
      <c r="AH4">
        <v>0</v>
      </c>
      <c r="AI4">
        <v>0</v>
      </c>
      <c r="AJ4">
        <v>1.2195121951219513E-2</v>
      </c>
      <c r="AK4">
        <v>0</v>
      </c>
      <c r="AL4">
        <v>0</v>
      </c>
      <c r="AM4">
        <v>0.13066202090592335</v>
      </c>
      <c r="AN4">
        <v>1.0452961672473868E-2</v>
      </c>
      <c r="AO4">
        <v>0.14285714285714285</v>
      </c>
      <c r="AP4">
        <v>0</v>
      </c>
      <c r="AQ4">
        <v>1.9163763066202089E-2</v>
      </c>
      <c r="AR4">
        <v>0.17421602787456447</v>
      </c>
      <c r="AS4">
        <v>1.2195121951219513E-2</v>
      </c>
      <c r="AT4">
        <v>1.0452961672473868E-2</v>
      </c>
      <c r="AU4">
        <v>0</v>
      </c>
      <c r="AV4">
        <v>0</v>
      </c>
      <c r="AW4">
        <v>1.2195121951219513E-2</v>
      </c>
      <c r="AX4">
        <v>0</v>
      </c>
      <c r="AY4">
        <v>0</v>
      </c>
    </row>
    <row r="5" spans="1:51" x14ac:dyDescent="0.3">
      <c r="A5" t="s">
        <v>632</v>
      </c>
      <c r="B5">
        <v>12555</v>
      </c>
      <c r="C5">
        <v>0</v>
      </c>
      <c r="D5">
        <v>1.877133105802048E-2</v>
      </c>
      <c r="E5">
        <v>1.1945392491467578E-2</v>
      </c>
      <c r="F5">
        <v>6.8259385665529011E-3</v>
      </c>
      <c r="G5">
        <v>0</v>
      </c>
      <c r="H5">
        <v>0</v>
      </c>
      <c r="I5">
        <v>0</v>
      </c>
      <c r="J5">
        <v>1.877133105802048E-2</v>
      </c>
      <c r="K5">
        <v>2.2184300341296929E-2</v>
      </c>
      <c r="L5">
        <v>1.877133105802048E-2</v>
      </c>
      <c r="M5">
        <v>1.1945392491467578E-2</v>
      </c>
      <c r="N5">
        <v>0</v>
      </c>
      <c r="O5">
        <v>0</v>
      </c>
      <c r="P5">
        <v>0</v>
      </c>
      <c r="Q5">
        <v>0</v>
      </c>
      <c r="R5">
        <v>0</v>
      </c>
      <c r="S5">
        <v>2.5597269624573378E-2</v>
      </c>
      <c r="T5">
        <v>0</v>
      </c>
      <c r="U5">
        <v>0</v>
      </c>
      <c r="V5">
        <v>0.11945392491467577</v>
      </c>
      <c r="W5">
        <v>1.3651877133105802E-2</v>
      </c>
      <c r="X5">
        <v>6.8259385665529013E-2</v>
      </c>
      <c r="Y5">
        <v>6.8259385665529011E-3</v>
      </c>
      <c r="Z5">
        <v>0</v>
      </c>
      <c r="AA5">
        <v>0</v>
      </c>
      <c r="AB5">
        <v>0.10238907849829351</v>
      </c>
      <c r="AC5">
        <v>1.5358361774744027E-2</v>
      </c>
      <c r="AD5">
        <v>1.7064846416382253E-3</v>
      </c>
      <c r="AE5">
        <v>0</v>
      </c>
      <c r="AF5">
        <v>0</v>
      </c>
      <c r="AG5">
        <v>6.8259385665529011E-3</v>
      </c>
      <c r="AH5">
        <v>0</v>
      </c>
      <c r="AI5">
        <v>0</v>
      </c>
      <c r="AJ5">
        <v>1.5358361774744027E-2</v>
      </c>
      <c r="AK5">
        <v>0</v>
      </c>
      <c r="AL5">
        <v>0</v>
      </c>
      <c r="AM5">
        <v>0.1348122866894198</v>
      </c>
      <c r="AN5">
        <v>1.0238907849829351E-2</v>
      </c>
      <c r="AO5">
        <v>0.14163822525597269</v>
      </c>
      <c r="AP5">
        <v>0</v>
      </c>
      <c r="AQ5">
        <v>2.0477815699658702E-2</v>
      </c>
      <c r="AR5">
        <v>0.17406143344709898</v>
      </c>
      <c r="AS5">
        <v>6.8259385665529011E-3</v>
      </c>
      <c r="AT5">
        <v>1.5358361774744027E-2</v>
      </c>
      <c r="AU5">
        <v>0</v>
      </c>
      <c r="AV5">
        <v>0</v>
      </c>
      <c r="AW5">
        <v>1.1945392491467578E-2</v>
      </c>
      <c r="AX5">
        <v>0</v>
      </c>
      <c r="AY5">
        <v>0</v>
      </c>
    </row>
    <row r="6" spans="1:51" x14ac:dyDescent="0.3">
      <c r="A6" t="s">
        <v>632</v>
      </c>
      <c r="B6">
        <v>13373.2</v>
      </c>
      <c r="C6">
        <v>0</v>
      </c>
      <c r="D6">
        <v>2.1702838063439065E-2</v>
      </c>
      <c r="E6">
        <v>2.337228714524207E-2</v>
      </c>
      <c r="F6">
        <v>0</v>
      </c>
      <c r="G6">
        <v>0</v>
      </c>
      <c r="H6">
        <v>0</v>
      </c>
      <c r="I6">
        <v>0</v>
      </c>
      <c r="J6">
        <v>1.6694490818030049E-2</v>
      </c>
      <c r="K6">
        <v>2.337228714524207E-2</v>
      </c>
      <c r="L6">
        <v>1.8363939899833055E-2</v>
      </c>
      <c r="M6">
        <v>2.6711185308848081E-2</v>
      </c>
      <c r="N6">
        <v>0</v>
      </c>
      <c r="O6">
        <v>0</v>
      </c>
      <c r="P6">
        <v>0</v>
      </c>
      <c r="Q6">
        <v>0</v>
      </c>
      <c r="R6">
        <v>0</v>
      </c>
      <c r="S6">
        <v>2.8380634390651086E-2</v>
      </c>
      <c r="T6">
        <v>0</v>
      </c>
      <c r="U6">
        <v>0</v>
      </c>
      <c r="V6">
        <v>0.10851419031719532</v>
      </c>
      <c r="W6">
        <v>1.8363939899833055E-2</v>
      </c>
      <c r="X6">
        <v>5.6761268781302172E-2</v>
      </c>
      <c r="Y6">
        <v>3.3388981636060101E-3</v>
      </c>
      <c r="Z6">
        <v>0</v>
      </c>
      <c r="AA6">
        <v>0</v>
      </c>
      <c r="AB6">
        <v>0.11185308848080133</v>
      </c>
      <c r="AC6">
        <v>2.003338898163606E-2</v>
      </c>
      <c r="AD6">
        <v>3.0050083472454091E-2</v>
      </c>
      <c r="AE6">
        <v>0</v>
      </c>
      <c r="AF6">
        <v>0</v>
      </c>
      <c r="AG6">
        <v>0</v>
      </c>
      <c r="AH6">
        <v>0</v>
      </c>
      <c r="AI6">
        <v>0</v>
      </c>
      <c r="AJ6">
        <v>1.335559265442404E-2</v>
      </c>
      <c r="AK6">
        <v>0</v>
      </c>
      <c r="AL6">
        <v>0</v>
      </c>
      <c r="AM6">
        <v>0.1318864774624374</v>
      </c>
      <c r="AN6">
        <v>5.008347245409015E-3</v>
      </c>
      <c r="AO6">
        <v>0.1302170283806344</v>
      </c>
      <c r="AP6">
        <v>0</v>
      </c>
      <c r="AQ6">
        <v>2.337228714524207E-2</v>
      </c>
      <c r="AR6">
        <v>0.15525876460767946</v>
      </c>
      <c r="AS6">
        <v>6.6777963272120202E-3</v>
      </c>
      <c r="AT6">
        <v>1.8363939899833055E-2</v>
      </c>
      <c r="AU6">
        <v>0</v>
      </c>
      <c r="AV6">
        <v>0</v>
      </c>
      <c r="AW6">
        <v>8.3472454090150246E-3</v>
      </c>
      <c r="AX6">
        <v>0</v>
      </c>
      <c r="AY6">
        <v>0</v>
      </c>
    </row>
    <row r="7" spans="1:51" x14ac:dyDescent="0.3">
      <c r="A7" t="s">
        <v>632</v>
      </c>
      <c r="B7">
        <v>14191.4</v>
      </c>
      <c r="C7">
        <v>0</v>
      </c>
      <c r="D7">
        <v>2.6548672566371681E-2</v>
      </c>
      <c r="E7">
        <v>0</v>
      </c>
      <c r="F7">
        <v>2.3008849557522124E-2</v>
      </c>
      <c r="G7">
        <v>0</v>
      </c>
      <c r="H7">
        <v>0</v>
      </c>
      <c r="I7">
        <v>0</v>
      </c>
      <c r="J7">
        <v>1.5929203539823009E-2</v>
      </c>
      <c r="K7">
        <v>3.0088495575221239E-2</v>
      </c>
      <c r="L7">
        <v>1.9469026548672566E-2</v>
      </c>
      <c r="M7">
        <v>0</v>
      </c>
      <c r="N7">
        <v>0</v>
      </c>
      <c r="O7">
        <v>1.415929203539823E-2</v>
      </c>
      <c r="P7">
        <v>0</v>
      </c>
      <c r="Q7">
        <v>0</v>
      </c>
      <c r="R7">
        <v>0</v>
      </c>
      <c r="S7">
        <v>1.5929203539823009E-2</v>
      </c>
      <c r="T7">
        <v>0</v>
      </c>
      <c r="U7">
        <v>0</v>
      </c>
      <c r="V7">
        <v>0.12212389380530973</v>
      </c>
      <c r="W7">
        <v>1.5929203539823009E-2</v>
      </c>
      <c r="X7">
        <v>9.5575221238938052E-2</v>
      </c>
      <c r="Y7">
        <v>0</v>
      </c>
      <c r="Z7">
        <v>0</v>
      </c>
      <c r="AA7">
        <v>0</v>
      </c>
      <c r="AB7">
        <v>7.7876106194690264E-2</v>
      </c>
      <c r="AC7">
        <v>1.9469026548672566E-2</v>
      </c>
      <c r="AD7">
        <v>1.7699115044247787E-3</v>
      </c>
      <c r="AE7">
        <v>0</v>
      </c>
      <c r="AF7">
        <v>0</v>
      </c>
      <c r="AG7">
        <v>0</v>
      </c>
      <c r="AH7">
        <v>0</v>
      </c>
      <c r="AI7">
        <v>0</v>
      </c>
      <c r="AJ7">
        <v>1.2389380530973451E-2</v>
      </c>
      <c r="AK7">
        <v>0</v>
      </c>
      <c r="AL7">
        <v>0</v>
      </c>
      <c r="AM7">
        <v>0.13451327433628318</v>
      </c>
      <c r="AN7">
        <v>0</v>
      </c>
      <c r="AO7">
        <v>0.1415929203539823</v>
      </c>
      <c r="AP7">
        <v>0</v>
      </c>
      <c r="AQ7">
        <v>1.9469026548672566E-2</v>
      </c>
      <c r="AR7">
        <v>0.17699115044247787</v>
      </c>
      <c r="AS7">
        <v>1.5929203539823009E-2</v>
      </c>
      <c r="AT7">
        <v>1.2389380530973451E-2</v>
      </c>
      <c r="AU7">
        <v>0</v>
      </c>
      <c r="AV7">
        <v>0</v>
      </c>
      <c r="AW7">
        <v>8.8495575221238937E-3</v>
      </c>
      <c r="AX7">
        <v>0</v>
      </c>
      <c r="AY7">
        <v>0</v>
      </c>
    </row>
    <row r="8" spans="1:51" x14ac:dyDescent="0.3">
      <c r="A8" t="s">
        <v>632</v>
      </c>
      <c r="B8">
        <v>15009.6</v>
      </c>
      <c r="C8">
        <v>0</v>
      </c>
      <c r="D8">
        <v>2.1505376344086023E-2</v>
      </c>
      <c r="E8">
        <v>0</v>
      </c>
      <c r="F8">
        <v>5.3763440860215058E-3</v>
      </c>
      <c r="G8">
        <v>0</v>
      </c>
      <c r="H8">
        <v>0</v>
      </c>
      <c r="I8">
        <v>0</v>
      </c>
      <c r="J8">
        <v>1.6129032258064516E-2</v>
      </c>
      <c r="K8">
        <v>2.1505376344086023E-2</v>
      </c>
      <c r="L8">
        <v>2.5089605734767026E-2</v>
      </c>
      <c r="M8">
        <v>1.9713261648745518E-2</v>
      </c>
      <c r="N8">
        <v>0</v>
      </c>
      <c r="O8">
        <v>8.9605734767025085E-3</v>
      </c>
      <c r="P8">
        <v>0</v>
      </c>
      <c r="Q8">
        <v>0</v>
      </c>
      <c r="R8">
        <v>0</v>
      </c>
      <c r="S8">
        <v>7.1684587813620072E-3</v>
      </c>
      <c r="T8">
        <v>0</v>
      </c>
      <c r="U8">
        <v>0</v>
      </c>
      <c r="V8">
        <v>0.12544802867383512</v>
      </c>
      <c r="W8">
        <v>1.4336917562724014E-2</v>
      </c>
      <c r="X8">
        <v>0.10215053763440861</v>
      </c>
      <c r="Y8">
        <v>0</v>
      </c>
      <c r="Z8">
        <v>0</v>
      </c>
      <c r="AA8">
        <v>0</v>
      </c>
      <c r="AB8">
        <v>8.2437275985663083E-2</v>
      </c>
      <c r="AC8">
        <v>2.1505376344086023E-2</v>
      </c>
      <c r="AD8">
        <v>3.5842293906810036E-3</v>
      </c>
      <c r="AE8">
        <v>0</v>
      </c>
      <c r="AF8">
        <v>0</v>
      </c>
      <c r="AG8">
        <v>0</v>
      </c>
      <c r="AH8">
        <v>0</v>
      </c>
      <c r="AI8">
        <v>0</v>
      </c>
      <c r="AJ8">
        <v>1.0752688172043012E-2</v>
      </c>
      <c r="AK8">
        <v>0</v>
      </c>
      <c r="AL8">
        <v>0</v>
      </c>
      <c r="AM8">
        <v>0.13978494623655913</v>
      </c>
      <c r="AN8">
        <v>0</v>
      </c>
      <c r="AO8">
        <v>0.14874551971326164</v>
      </c>
      <c r="AP8">
        <v>0</v>
      </c>
      <c r="AQ8">
        <v>2.1505376344086023E-2</v>
      </c>
      <c r="AR8">
        <v>0.18100358422939067</v>
      </c>
      <c r="AS8">
        <v>5.3763440860215058E-3</v>
      </c>
      <c r="AT8">
        <v>1.2544802867383513E-2</v>
      </c>
      <c r="AU8">
        <v>0</v>
      </c>
      <c r="AV8">
        <v>0</v>
      </c>
      <c r="AW8">
        <v>5.3763440860215058E-3</v>
      </c>
      <c r="AX8">
        <v>0</v>
      </c>
      <c r="AY8">
        <v>0</v>
      </c>
    </row>
    <row r="9" spans="1:51" x14ac:dyDescent="0.3">
      <c r="A9" t="s">
        <v>632</v>
      </c>
      <c r="B9">
        <v>15827.8</v>
      </c>
      <c r="C9">
        <v>0</v>
      </c>
      <c r="D9">
        <v>1.8518518518518517E-2</v>
      </c>
      <c r="E9">
        <v>5.0505050505050509E-3</v>
      </c>
      <c r="F9">
        <v>8.4175084175084174E-3</v>
      </c>
      <c r="G9">
        <v>0</v>
      </c>
      <c r="H9">
        <v>0</v>
      </c>
      <c r="I9">
        <v>0</v>
      </c>
      <c r="J9">
        <v>2.0202020202020204E-2</v>
      </c>
      <c r="K9">
        <v>2.5252525252525252E-2</v>
      </c>
      <c r="L9">
        <v>2.1885521885521887E-2</v>
      </c>
      <c r="M9">
        <v>1.8518518518518517E-2</v>
      </c>
      <c r="N9">
        <v>0</v>
      </c>
      <c r="O9">
        <v>1.3468013468013467E-2</v>
      </c>
      <c r="P9">
        <v>0</v>
      </c>
      <c r="Q9">
        <v>0</v>
      </c>
      <c r="R9">
        <v>0</v>
      </c>
      <c r="S9">
        <v>1.3468013468013467E-2</v>
      </c>
      <c r="T9">
        <v>0</v>
      </c>
      <c r="U9">
        <v>0</v>
      </c>
      <c r="V9">
        <v>0.12121212121212122</v>
      </c>
      <c r="W9">
        <v>1.3468013468013467E-2</v>
      </c>
      <c r="X9">
        <v>8.4175084175084181E-2</v>
      </c>
      <c r="Y9">
        <v>0</v>
      </c>
      <c r="Z9">
        <v>0</v>
      </c>
      <c r="AA9">
        <v>0</v>
      </c>
      <c r="AB9">
        <v>8.5858585858585856E-2</v>
      </c>
      <c r="AC9">
        <v>1.8518518518518517E-2</v>
      </c>
      <c r="AD9">
        <v>3.3670033670033669E-3</v>
      </c>
      <c r="AE9">
        <v>0</v>
      </c>
      <c r="AF9">
        <v>0</v>
      </c>
      <c r="AG9">
        <v>0</v>
      </c>
      <c r="AH9">
        <v>0</v>
      </c>
      <c r="AI9">
        <v>0</v>
      </c>
      <c r="AJ9">
        <v>1.0101010101010102E-2</v>
      </c>
      <c r="AK9">
        <v>8.4175084175084174E-3</v>
      </c>
      <c r="AL9">
        <v>0</v>
      </c>
      <c r="AM9">
        <v>0.13636363636363635</v>
      </c>
      <c r="AN9">
        <v>0</v>
      </c>
      <c r="AO9">
        <v>0.14983164983164984</v>
      </c>
      <c r="AP9">
        <v>0</v>
      </c>
      <c r="AQ9">
        <v>1.8518518518518517E-2</v>
      </c>
      <c r="AR9">
        <v>0.17340067340067339</v>
      </c>
      <c r="AS9">
        <v>1.3468013468013467E-2</v>
      </c>
      <c r="AT9">
        <v>1.1784511784511785E-2</v>
      </c>
      <c r="AU9">
        <v>0</v>
      </c>
      <c r="AV9">
        <v>0</v>
      </c>
      <c r="AW9">
        <v>6.7340067340067337E-3</v>
      </c>
      <c r="AX9">
        <v>0</v>
      </c>
      <c r="AY9">
        <v>0</v>
      </c>
    </row>
    <row r="10" spans="1:51" x14ac:dyDescent="0.3">
      <c r="A10" t="s">
        <v>632</v>
      </c>
      <c r="B10">
        <v>16646</v>
      </c>
      <c r="C10">
        <v>0</v>
      </c>
      <c r="D10">
        <v>1.9713261648745518E-2</v>
      </c>
      <c r="E10">
        <v>0</v>
      </c>
      <c r="F10">
        <v>1.4336917562724014E-2</v>
      </c>
      <c r="G10">
        <v>0</v>
      </c>
      <c r="H10">
        <v>0</v>
      </c>
      <c r="I10">
        <v>0</v>
      </c>
      <c r="J10">
        <v>1.9713261648745518E-2</v>
      </c>
      <c r="K10">
        <v>1.6129032258064516E-2</v>
      </c>
      <c r="L10">
        <v>1.9713261648745518E-2</v>
      </c>
      <c r="M10">
        <v>1.4336917562724014E-2</v>
      </c>
      <c r="N10">
        <v>0</v>
      </c>
      <c r="O10">
        <v>1.2544802867383513E-2</v>
      </c>
      <c r="P10">
        <v>0</v>
      </c>
      <c r="Q10">
        <v>0</v>
      </c>
      <c r="R10">
        <v>0</v>
      </c>
      <c r="S10">
        <v>1.0752688172043012E-2</v>
      </c>
      <c r="T10">
        <v>0</v>
      </c>
      <c r="U10">
        <v>0</v>
      </c>
      <c r="V10">
        <v>0.13082437275985664</v>
      </c>
      <c r="W10">
        <v>1.2544802867383513E-2</v>
      </c>
      <c r="X10">
        <v>8.6021505376344093E-2</v>
      </c>
      <c r="Y10">
        <v>0</v>
      </c>
      <c r="Z10">
        <v>0</v>
      </c>
      <c r="AA10">
        <v>0</v>
      </c>
      <c r="AB10">
        <v>7.8853046594982074E-2</v>
      </c>
      <c r="AC10">
        <v>1.9713261648745518E-2</v>
      </c>
      <c r="AD10">
        <v>5.3763440860215058E-3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1.6129032258064516E-2</v>
      </c>
      <c r="AK10">
        <v>0</v>
      </c>
      <c r="AL10">
        <v>0</v>
      </c>
      <c r="AM10">
        <v>0.14157706093189965</v>
      </c>
      <c r="AN10">
        <v>0</v>
      </c>
      <c r="AO10">
        <v>0.14336917562724014</v>
      </c>
      <c r="AP10">
        <v>0</v>
      </c>
      <c r="AQ10">
        <v>1.9713261648745518E-2</v>
      </c>
      <c r="AR10">
        <v>0.18817204301075269</v>
      </c>
      <c r="AS10">
        <v>7.1684587813620072E-3</v>
      </c>
      <c r="AT10">
        <v>1.0752688172043012E-2</v>
      </c>
      <c r="AU10">
        <v>0</v>
      </c>
      <c r="AV10">
        <v>0</v>
      </c>
      <c r="AW10">
        <v>1.2544802867383513E-2</v>
      </c>
      <c r="AX10">
        <v>0</v>
      </c>
      <c r="AY10">
        <v>0</v>
      </c>
    </row>
    <row r="11" spans="1:51" x14ac:dyDescent="0.3">
      <c r="A11" t="s">
        <v>632</v>
      </c>
      <c r="B11">
        <v>16691.25</v>
      </c>
      <c r="C11">
        <v>0</v>
      </c>
      <c r="D11">
        <v>2.3608768971332208E-2</v>
      </c>
      <c r="E11">
        <v>8.4317032040472171E-3</v>
      </c>
      <c r="F11">
        <v>1.5177065767284991E-2</v>
      </c>
      <c r="G11">
        <v>0</v>
      </c>
      <c r="H11">
        <v>0</v>
      </c>
      <c r="I11">
        <v>0</v>
      </c>
      <c r="J11">
        <v>1.0118043844856661E-2</v>
      </c>
      <c r="K11">
        <v>1.8549747048903879E-2</v>
      </c>
      <c r="L11">
        <v>1.5177065767284991E-2</v>
      </c>
      <c r="M11">
        <v>0</v>
      </c>
      <c r="N11">
        <v>0</v>
      </c>
      <c r="O11">
        <v>8.4317032040472171E-3</v>
      </c>
      <c r="P11">
        <v>0</v>
      </c>
      <c r="Q11">
        <v>0</v>
      </c>
      <c r="R11">
        <v>0</v>
      </c>
      <c r="S11">
        <v>1.0118043844856661E-2</v>
      </c>
      <c r="T11">
        <v>0</v>
      </c>
      <c r="U11">
        <v>0</v>
      </c>
      <c r="V11">
        <v>0.12647554806070826</v>
      </c>
      <c r="W11">
        <v>1.5177065767284991E-2</v>
      </c>
      <c r="X11">
        <v>8.4317032040472181E-2</v>
      </c>
      <c r="Y11">
        <v>0</v>
      </c>
      <c r="Z11">
        <v>0</v>
      </c>
      <c r="AA11">
        <v>0</v>
      </c>
      <c r="AB11">
        <v>8.4317032040472181E-2</v>
      </c>
      <c r="AC11">
        <v>2.0236087689713321E-2</v>
      </c>
      <c r="AD11">
        <v>1.6863406408094434E-3</v>
      </c>
      <c r="AE11">
        <v>0</v>
      </c>
      <c r="AF11">
        <v>0</v>
      </c>
      <c r="AG11">
        <v>5.0590219224283303E-3</v>
      </c>
      <c r="AH11">
        <v>1.6863406408094434E-3</v>
      </c>
      <c r="AI11">
        <v>0</v>
      </c>
      <c r="AJ11">
        <v>1.8549747048903879E-2</v>
      </c>
      <c r="AK11">
        <v>0</v>
      </c>
      <c r="AL11">
        <v>0</v>
      </c>
      <c r="AM11">
        <v>0.13827993254637436</v>
      </c>
      <c r="AN11">
        <v>0</v>
      </c>
      <c r="AO11">
        <v>0.15008431703204048</v>
      </c>
      <c r="AP11">
        <v>0</v>
      </c>
      <c r="AQ11">
        <v>2.5295109612141653E-2</v>
      </c>
      <c r="AR11">
        <v>0.18718381112984822</v>
      </c>
      <c r="AS11">
        <v>8.4317032040472171E-3</v>
      </c>
      <c r="AT11">
        <v>1.3490725126475547E-2</v>
      </c>
      <c r="AU11">
        <v>0</v>
      </c>
      <c r="AV11">
        <v>0</v>
      </c>
      <c r="AW11">
        <v>1.0118043844856661E-2</v>
      </c>
      <c r="AX11">
        <v>0</v>
      </c>
      <c r="AY11">
        <v>0</v>
      </c>
    </row>
    <row r="12" spans="1:51" x14ac:dyDescent="0.3">
      <c r="A12" t="s">
        <v>632</v>
      </c>
      <c r="B12">
        <v>16736.5</v>
      </c>
      <c r="C12">
        <v>0</v>
      </c>
      <c r="D12">
        <v>2.6501766784452298E-2</v>
      </c>
      <c r="E12">
        <v>0</v>
      </c>
      <c r="F12">
        <v>1.5901060070671377E-2</v>
      </c>
      <c r="G12">
        <v>0</v>
      </c>
      <c r="H12">
        <v>0</v>
      </c>
      <c r="I12">
        <v>0</v>
      </c>
      <c r="J12">
        <v>1.4134275618374558E-2</v>
      </c>
      <c r="K12">
        <v>3.0035335689045935E-2</v>
      </c>
      <c r="L12">
        <v>2.1201413427561839E-2</v>
      </c>
      <c r="M12">
        <v>0</v>
      </c>
      <c r="N12">
        <v>0</v>
      </c>
      <c r="O12">
        <v>1.0600706713780919E-2</v>
      </c>
      <c r="P12">
        <v>0</v>
      </c>
      <c r="Q12">
        <v>0</v>
      </c>
      <c r="R12">
        <v>0</v>
      </c>
      <c r="S12">
        <v>1.0600706713780919E-2</v>
      </c>
      <c r="T12">
        <v>0</v>
      </c>
      <c r="U12">
        <v>0</v>
      </c>
      <c r="V12">
        <v>0.12367491166077739</v>
      </c>
      <c r="W12">
        <v>1.9434628975265017E-2</v>
      </c>
      <c r="X12">
        <v>9.8939929328621903E-2</v>
      </c>
      <c r="Y12">
        <v>0</v>
      </c>
      <c r="Z12">
        <v>0</v>
      </c>
      <c r="AA12">
        <v>0</v>
      </c>
      <c r="AB12">
        <v>7.9505300353356886E-2</v>
      </c>
      <c r="AC12">
        <v>1.4134275618374558E-2</v>
      </c>
      <c r="AD12">
        <v>3.5335689045936395E-3</v>
      </c>
      <c r="AE12">
        <v>0</v>
      </c>
      <c r="AF12">
        <v>0</v>
      </c>
      <c r="AG12">
        <v>5.3003533568904597E-3</v>
      </c>
      <c r="AH12">
        <v>0</v>
      </c>
      <c r="AI12">
        <v>0</v>
      </c>
      <c r="AJ12">
        <v>1.5901060070671377E-2</v>
      </c>
      <c r="AK12">
        <v>0</v>
      </c>
      <c r="AL12">
        <v>0</v>
      </c>
      <c r="AM12">
        <v>0.13604240282685512</v>
      </c>
      <c r="AN12">
        <v>0</v>
      </c>
      <c r="AO12">
        <v>0.1519434628975265</v>
      </c>
      <c r="AP12">
        <v>0</v>
      </c>
      <c r="AQ12">
        <v>1.5901060070671377E-2</v>
      </c>
      <c r="AR12">
        <v>0.18021201413427562</v>
      </c>
      <c r="AS12">
        <v>7.0671378091872791E-3</v>
      </c>
      <c r="AT12">
        <v>8.8339222614840993E-3</v>
      </c>
      <c r="AU12">
        <v>0</v>
      </c>
      <c r="AV12">
        <v>0</v>
      </c>
      <c r="AW12">
        <v>1.0600706713780919E-2</v>
      </c>
      <c r="AX12">
        <v>0</v>
      </c>
      <c r="AY12">
        <v>0</v>
      </c>
    </row>
    <row r="13" spans="1:51" x14ac:dyDescent="0.3">
      <c r="A13" t="s">
        <v>632</v>
      </c>
      <c r="B13">
        <v>16781.75</v>
      </c>
      <c r="C13">
        <v>0</v>
      </c>
      <c r="D13">
        <v>2.2018348623853212E-2</v>
      </c>
      <c r="E13">
        <v>0</v>
      </c>
      <c r="F13">
        <v>3.1192660550458717E-2</v>
      </c>
      <c r="G13">
        <v>0</v>
      </c>
      <c r="H13">
        <v>0</v>
      </c>
      <c r="I13">
        <v>0</v>
      </c>
      <c r="J13">
        <v>0</v>
      </c>
      <c r="K13">
        <v>3.669724770642202E-2</v>
      </c>
      <c r="L13">
        <v>2.7522935779816515E-2</v>
      </c>
      <c r="M13">
        <v>0</v>
      </c>
      <c r="N13">
        <v>0</v>
      </c>
      <c r="O13">
        <v>1.1009174311926606E-2</v>
      </c>
      <c r="P13">
        <v>0</v>
      </c>
      <c r="Q13">
        <v>0</v>
      </c>
      <c r="R13">
        <v>0</v>
      </c>
      <c r="S13">
        <v>1.4678899082568808E-2</v>
      </c>
      <c r="T13">
        <v>0</v>
      </c>
      <c r="U13">
        <v>0</v>
      </c>
      <c r="V13">
        <v>0.12477064220183487</v>
      </c>
      <c r="W13">
        <v>9.1743119266055051E-3</v>
      </c>
      <c r="X13">
        <v>7.5229357798165142E-2</v>
      </c>
      <c r="Y13">
        <v>0</v>
      </c>
      <c r="Z13">
        <v>0</v>
      </c>
      <c r="AA13">
        <v>0</v>
      </c>
      <c r="AB13">
        <v>8.6238532110091748E-2</v>
      </c>
      <c r="AC13">
        <v>3.4862385321100919E-2</v>
      </c>
      <c r="AD13">
        <v>1.4678899082568808E-2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1.2844036697247707E-2</v>
      </c>
      <c r="AK13">
        <v>0</v>
      </c>
      <c r="AL13">
        <v>0</v>
      </c>
      <c r="AM13">
        <v>0.15229357798165138</v>
      </c>
      <c r="AN13">
        <v>5.5045871559633031E-3</v>
      </c>
      <c r="AO13">
        <v>0.13394495412844037</v>
      </c>
      <c r="AP13">
        <v>0</v>
      </c>
      <c r="AQ13">
        <v>3.4862385321100919E-2</v>
      </c>
      <c r="AR13">
        <v>0.15229357798165138</v>
      </c>
      <c r="AS13">
        <v>1.834862385321101E-3</v>
      </c>
      <c r="AT13">
        <v>1.1009174311926606E-2</v>
      </c>
      <c r="AU13">
        <v>0</v>
      </c>
      <c r="AV13">
        <v>3.669724770642202E-3</v>
      </c>
      <c r="AW13">
        <v>3.669724770642202E-3</v>
      </c>
      <c r="AX13">
        <v>0</v>
      </c>
      <c r="AY13">
        <v>0</v>
      </c>
    </row>
    <row r="14" spans="1:51" x14ac:dyDescent="0.3">
      <c r="A14" t="s">
        <v>632</v>
      </c>
      <c r="B14">
        <v>16827</v>
      </c>
      <c r="C14">
        <v>0</v>
      </c>
      <c r="D14">
        <v>1.1131725417439703E-2</v>
      </c>
      <c r="E14">
        <v>1.4842300556586271E-2</v>
      </c>
      <c r="F14">
        <v>3.1539888682745827E-2</v>
      </c>
      <c r="G14">
        <v>0</v>
      </c>
      <c r="H14">
        <v>5.5658627087198514E-3</v>
      </c>
      <c r="I14">
        <v>0</v>
      </c>
      <c r="J14">
        <v>2.2263450834879406E-2</v>
      </c>
      <c r="K14">
        <v>4.4526901669758812E-2</v>
      </c>
      <c r="L14">
        <v>2.9684601113172542E-2</v>
      </c>
      <c r="M14">
        <v>1.2987012987012988E-2</v>
      </c>
      <c r="N14">
        <v>0</v>
      </c>
      <c r="O14">
        <v>1.1131725417439703E-2</v>
      </c>
      <c r="P14">
        <v>0</v>
      </c>
      <c r="Q14">
        <v>0</v>
      </c>
      <c r="R14">
        <v>0</v>
      </c>
      <c r="S14">
        <v>2.0408163265306121E-2</v>
      </c>
      <c r="T14">
        <v>0</v>
      </c>
      <c r="U14">
        <v>0</v>
      </c>
      <c r="V14">
        <v>4.8237476808905382E-2</v>
      </c>
      <c r="W14">
        <v>9.2764378478664197E-3</v>
      </c>
      <c r="X14">
        <v>0</v>
      </c>
      <c r="Y14">
        <v>0</v>
      </c>
      <c r="Z14">
        <v>0</v>
      </c>
      <c r="AA14">
        <v>0</v>
      </c>
      <c r="AB14">
        <v>0.12430426716141002</v>
      </c>
      <c r="AC14">
        <v>1.6697588126159554E-2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1.1131725417439703E-2</v>
      </c>
      <c r="AJ14">
        <v>1.1131725417439703E-2</v>
      </c>
      <c r="AK14">
        <v>0</v>
      </c>
      <c r="AL14">
        <v>0</v>
      </c>
      <c r="AM14">
        <v>0.19851576994434136</v>
      </c>
      <c r="AN14">
        <v>0</v>
      </c>
      <c r="AO14">
        <v>0.19666048237476808</v>
      </c>
      <c r="AP14">
        <v>0</v>
      </c>
      <c r="AQ14">
        <v>3.3395176252319109E-2</v>
      </c>
      <c r="AR14">
        <v>0.1391465677179963</v>
      </c>
      <c r="AS14">
        <v>0</v>
      </c>
      <c r="AT14">
        <v>7.4211502782931356E-3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">
      <c r="A15" t="s">
        <v>632</v>
      </c>
      <c r="B15">
        <v>17952.5</v>
      </c>
      <c r="C15">
        <v>0</v>
      </c>
      <c r="D15">
        <v>2.0257826887661142E-2</v>
      </c>
      <c r="E15">
        <v>1.1049723756906077E-2</v>
      </c>
      <c r="F15">
        <v>2.0257826887661142E-2</v>
      </c>
      <c r="G15">
        <v>0</v>
      </c>
      <c r="H15">
        <v>1.289134438305709E-2</v>
      </c>
      <c r="I15">
        <v>0</v>
      </c>
      <c r="J15">
        <v>2.2099447513812154E-2</v>
      </c>
      <c r="K15">
        <v>4.2357274401473299E-2</v>
      </c>
      <c r="L15">
        <v>2.2099447513812154E-2</v>
      </c>
      <c r="M15">
        <v>2.0257826887661142E-2</v>
      </c>
      <c r="N15">
        <v>0</v>
      </c>
      <c r="O15">
        <v>1.4732965009208104E-2</v>
      </c>
      <c r="P15">
        <v>0</v>
      </c>
      <c r="Q15">
        <v>0</v>
      </c>
      <c r="R15">
        <v>0</v>
      </c>
      <c r="S15">
        <v>7.3664825046040518E-3</v>
      </c>
      <c r="T15">
        <v>0</v>
      </c>
      <c r="U15">
        <v>0</v>
      </c>
      <c r="V15">
        <v>6.2615101289134445E-2</v>
      </c>
      <c r="W15">
        <v>1.4732965009208104E-2</v>
      </c>
      <c r="X15">
        <v>2.2099447513812154E-2</v>
      </c>
      <c r="Y15">
        <v>0</v>
      </c>
      <c r="Z15">
        <v>0</v>
      </c>
      <c r="AA15">
        <v>0</v>
      </c>
      <c r="AB15">
        <v>0.10313075506445672</v>
      </c>
      <c r="AC15">
        <v>2.0257826887661142E-2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1.1049723756906077E-2</v>
      </c>
      <c r="AJ15">
        <v>7.3664825046040518E-3</v>
      </c>
      <c r="AK15">
        <v>0</v>
      </c>
      <c r="AL15">
        <v>0</v>
      </c>
      <c r="AM15">
        <v>0.20257826887661143</v>
      </c>
      <c r="AN15">
        <v>0</v>
      </c>
      <c r="AO15">
        <v>0.19889502762430938</v>
      </c>
      <c r="AP15">
        <v>0</v>
      </c>
      <c r="AQ15">
        <v>2.0257826887661142E-2</v>
      </c>
      <c r="AR15">
        <v>0.11970534069981584</v>
      </c>
      <c r="AS15">
        <v>1.841620626151013E-3</v>
      </c>
      <c r="AT15">
        <v>1.289134438305709E-2</v>
      </c>
      <c r="AU15">
        <v>0</v>
      </c>
      <c r="AV15">
        <v>0</v>
      </c>
      <c r="AW15">
        <v>9.2081031307550652E-3</v>
      </c>
      <c r="AX15">
        <v>0</v>
      </c>
      <c r="AY15">
        <v>0</v>
      </c>
    </row>
    <row r="16" spans="1:51" x14ac:dyDescent="0.3">
      <c r="A16" t="s">
        <v>632</v>
      </c>
      <c r="B16">
        <v>19078</v>
      </c>
      <c r="C16">
        <v>0</v>
      </c>
      <c r="D16">
        <v>1.7374517374517374E-2</v>
      </c>
      <c r="E16">
        <v>1.7374517374517374E-2</v>
      </c>
      <c r="F16">
        <v>1.1583011583011582E-2</v>
      </c>
      <c r="G16">
        <v>0</v>
      </c>
      <c r="H16">
        <v>1.5444015444015444E-2</v>
      </c>
      <c r="I16">
        <v>0</v>
      </c>
      <c r="J16">
        <v>2.5096525096525095E-2</v>
      </c>
      <c r="K16">
        <v>4.2471042471042469E-2</v>
      </c>
      <c r="L16">
        <v>2.1235521235521235E-2</v>
      </c>
      <c r="M16">
        <v>1.7374517374517374E-2</v>
      </c>
      <c r="N16">
        <v>0</v>
      </c>
      <c r="O16">
        <v>1.3513513513513514E-2</v>
      </c>
      <c r="P16">
        <v>0</v>
      </c>
      <c r="Q16">
        <v>0</v>
      </c>
      <c r="R16">
        <v>0</v>
      </c>
      <c r="S16">
        <v>1.3513513513513514E-2</v>
      </c>
      <c r="T16">
        <v>0</v>
      </c>
      <c r="U16">
        <v>0</v>
      </c>
      <c r="V16">
        <v>5.4054054054054057E-2</v>
      </c>
      <c r="W16">
        <v>0</v>
      </c>
      <c r="X16">
        <v>1.5444015444015444E-2</v>
      </c>
      <c r="Y16">
        <v>0</v>
      </c>
      <c r="Z16">
        <v>0</v>
      </c>
      <c r="AA16">
        <v>0</v>
      </c>
      <c r="AB16">
        <v>9.6525096525096526E-2</v>
      </c>
      <c r="AC16">
        <v>1.5444015444015444E-2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1.3513513513513514E-2</v>
      </c>
      <c r="AJ16">
        <v>3.8610038610038611E-3</v>
      </c>
      <c r="AK16">
        <v>0</v>
      </c>
      <c r="AL16">
        <v>0</v>
      </c>
      <c r="AM16">
        <v>0.21621621621621623</v>
      </c>
      <c r="AN16">
        <v>0</v>
      </c>
      <c r="AO16">
        <v>0.22779922779922779</v>
      </c>
      <c r="AP16">
        <v>0</v>
      </c>
      <c r="AQ16">
        <v>1.7374517374517374E-2</v>
      </c>
      <c r="AR16">
        <v>0.12741312741312741</v>
      </c>
      <c r="AS16">
        <v>0</v>
      </c>
      <c r="AT16">
        <v>1.7374517374517374E-2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3">
      <c r="A17" t="s">
        <v>632</v>
      </c>
      <c r="B17">
        <v>20203.5</v>
      </c>
      <c r="C17">
        <v>0</v>
      </c>
      <c r="D17">
        <v>2.7675276752767528E-2</v>
      </c>
      <c r="E17">
        <v>2.3985239852398525E-2</v>
      </c>
      <c r="F17">
        <v>3.6900369003690036E-3</v>
      </c>
      <c r="G17">
        <v>0</v>
      </c>
      <c r="H17">
        <v>2.2140221402214021E-2</v>
      </c>
      <c r="I17">
        <v>0</v>
      </c>
      <c r="J17">
        <v>1.107011070110701E-2</v>
      </c>
      <c r="K17">
        <v>4.0590405904059039E-2</v>
      </c>
      <c r="L17">
        <v>2.3985239852398525E-2</v>
      </c>
      <c r="M17">
        <v>0</v>
      </c>
      <c r="N17">
        <v>0</v>
      </c>
      <c r="O17">
        <v>2.0295202952029519E-2</v>
      </c>
      <c r="P17">
        <v>5.5350553505535052E-3</v>
      </c>
      <c r="Q17">
        <v>0</v>
      </c>
      <c r="R17">
        <v>1.107011070110701E-2</v>
      </c>
      <c r="S17">
        <v>9.2250922509225092E-3</v>
      </c>
      <c r="T17">
        <v>0</v>
      </c>
      <c r="U17">
        <v>0</v>
      </c>
      <c r="V17">
        <v>5.9040590405904057E-2</v>
      </c>
      <c r="W17">
        <v>0</v>
      </c>
      <c r="X17">
        <v>1.4760147601476014E-2</v>
      </c>
      <c r="Y17">
        <v>0</v>
      </c>
      <c r="Z17">
        <v>0</v>
      </c>
      <c r="AA17">
        <v>0</v>
      </c>
      <c r="AB17">
        <v>8.3025830258302583E-2</v>
      </c>
      <c r="AC17">
        <v>1.8450184501845018E-2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1.4760147601476014E-2</v>
      </c>
      <c r="AJ17">
        <v>5.5350553505535052E-3</v>
      </c>
      <c r="AK17">
        <v>0</v>
      </c>
      <c r="AL17">
        <v>0</v>
      </c>
      <c r="AM17">
        <v>0.21217712177121772</v>
      </c>
      <c r="AN17">
        <v>0</v>
      </c>
      <c r="AO17">
        <v>0.2011070110701107</v>
      </c>
      <c r="AP17">
        <v>0</v>
      </c>
      <c r="AQ17">
        <v>1.8450184501845018E-2</v>
      </c>
      <c r="AR17">
        <v>0.12915129151291513</v>
      </c>
      <c r="AS17">
        <v>2.0295202952029519E-2</v>
      </c>
      <c r="AT17">
        <v>2.3985239852398525E-2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">
      <c r="A18" t="s">
        <v>632</v>
      </c>
      <c r="B18">
        <v>21329</v>
      </c>
      <c r="C18">
        <v>0</v>
      </c>
      <c r="D18">
        <v>2.1543985637342909E-2</v>
      </c>
      <c r="E18">
        <v>5.3859964093357273E-3</v>
      </c>
      <c r="F18">
        <v>7.1813285457809697E-3</v>
      </c>
      <c r="G18">
        <v>1.7953321364452424E-3</v>
      </c>
      <c r="H18">
        <v>0</v>
      </c>
      <c r="I18">
        <v>0</v>
      </c>
      <c r="J18">
        <v>1.9748653500897665E-2</v>
      </c>
      <c r="K18">
        <v>3.7701974865350089E-2</v>
      </c>
      <c r="L18">
        <v>3.052064631956912E-2</v>
      </c>
      <c r="M18">
        <v>1.4362657091561939E-2</v>
      </c>
      <c r="N18">
        <v>0</v>
      </c>
      <c r="O18">
        <v>8.9766606822262122E-3</v>
      </c>
      <c r="P18">
        <v>0</v>
      </c>
      <c r="Q18">
        <v>0</v>
      </c>
      <c r="R18">
        <v>0</v>
      </c>
      <c r="S18">
        <v>1.9748653500897665E-2</v>
      </c>
      <c r="T18">
        <v>0</v>
      </c>
      <c r="U18">
        <v>0</v>
      </c>
      <c r="V18">
        <v>7.1813285457809697E-2</v>
      </c>
      <c r="W18">
        <v>8.9766606822262122E-3</v>
      </c>
      <c r="X18">
        <v>1.615798922800718E-2</v>
      </c>
      <c r="Y18">
        <v>0</v>
      </c>
      <c r="Z18">
        <v>0</v>
      </c>
      <c r="AA18">
        <v>0</v>
      </c>
      <c r="AB18">
        <v>8.2585278276481155E-2</v>
      </c>
      <c r="AC18">
        <v>5.3859964093357273E-3</v>
      </c>
      <c r="AD18">
        <v>1.7953321364452424E-3</v>
      </c>
      <c r="AE18">
        <v>8.9766606822262122E-3</v>
      </c>
      <c r="AF18">
        <v>1.7953321364452424E-3</v>
      </c>
      <c r="AG18">
        <v>0</v>
      </c>
      <c r="AH18">
        <v>0</v>
      </c>
      <c r="AI18">
        <v>5.3859964093357273E-3</v>
      </c>
      <c r="AJ18">
        <v>1.2567324955116697E-2</v>
      </c>
      <c r="AK18">
        <v>0</v>
      </c>
      <c r="AL18">
        <v>0</v>
      </c>
      <c r="AM18">
        <v>0.21723518850987433</v>
      </c>
      <c r="AN18">
        <v>0</v>
      </c>
      <c r="AO18">
        <v>0.17953321364452424</v>
      </c>
      <c r="AP18">
        <v>0</v>
      </c>
      <c r="AQ18">
        <v>8.9766606822262122E-3</v>
      </c>
      <c r="AR18">
        <v>0.17953321364452424</v>
      </c>
      <c r="AS18">
        <v>7.1813285457809697E-3</v>
      </c>
      <c r="AT18">
        <v>1.615798922800718E-2</v>
      </c>
      <c r="AU18">
        <v>0</v>
      </c>
      <c r="AV18">
        <v>0</v>
      </c>
      <c r="AW18">
        <v>8.9766606822262122E-3</v>
      </c>
      <c r="AX18">
        <v>0</v>
      </c>
      <c r="AY18">
        <v>0</v>
      </c>
    </row>
    <row r="19" spans="1:51" x14ac:dyDescent="0.3">
      <c r="A19" t="s">
        <v>632</v>
      </c>
      <c r="B19">
        <v>22454.5</v>
      </c>
      <c r="C19">
        <v>0</v>
      </c>
      <c r="D19">
        <v>2.5735294117647058E-2</v>
      </c>
      <c r="E19">
        <v>7.3529411764705881E-3</v>
      </c>
      <c r="F19">
        <v>7.3529411764705881E-3</v>
      </c>
      <c r="G19">
        <v>0</v>
      </c>
      <c r="H19">
        <v>1.1029411764705883E-2</v>
      </c>
      <c r="I19">
        <v>0</v>
      </c>
      <c r="J19">
        <v>1.4705882352941176E-2</v>
      </c>
      <c r="K19">
        <v>2.7573529411764705E-2</v>
      </c>
      <c r="L19">
        <v>3.4926470588235295E-2</v>
      </c>
      <c r="M19">
        <v>0</v>
      </c>
      <c r="N19">
        <v>0</v>
      </c>
      <c r="O19">
        <v>5.5147058823529415E-3</v>
      </c>
      <c r="P19">
        <v>0</v>
      </c>
      <c r="Q19">
        <v>0</v>
      </c>
      <c r="R19">
        <v>7.3529411764705881E-3</v>
      </c>
      <c r="S19">
        <v>2.0220588235294119E-2</v>
      </c>
      <c r="T19">
        <v>0</v>
      </c>
      <c r="U19">
        <v>0</v>
      </c>
      <c r="V19">
        <v>0.12132352941176471</v>
      </c>
      <c r="W19">
        <v>0</v>
      </c>
      <c r="X19">
        <v>1.6544117647058824E-2</v>
      </c>
      <c r="Y19">
        <v>0</v>
      </c>
      <c r="Z19">
        <v>0</v>
      </c>
      <c r="AA19">
        <v>0</v>
      </c>
      <c r="AB19">
        <v>6.6176470588235295E-2</v>
      </c>
      <c r="AC19">
        <v>1.2867647058823529E-2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1.4705882352941176E-2</v>
      </c>
      <c r="AJ19">
        <v>1.1029411764705883E-2</v>
      </c>
      <c r="AK19">
        <v>0</v>
      </c>
      <c r="AL19">
        <v>0</v>
      </c>
      <c r="AM19">
        <v>0.21691176470588236</v>
      </c>
      <c r="AN19">
        <v>0</v>
      </c>
      <c r="AO19">
        <v>0.19301470588235295</v>
      </c>
      <c r="AP19">
        <v>0</v>
      </c>
      <c r="AQ19">
        <v>1.6544117647058824E-2</v>
      </c>
      <c r="AR19">
        <v>0.14705882352941177</v>
      </c>
      <c r="AS19">
        <v>1.2867647058823529E-2</v>
      </c>
      <c r="AT19">
        <v>9.1911764705882356E-3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">
      <c r="A20" t="s">
        <v>632</v>
      </c>
      <c r="B20">
        <v>23580</v>
      </c>
      <c r="C20">
        <v>0</v>
      </c>
      <c r="D20">
        <v>2.9360967184801381E-2</v>
      </c>
      <c r="E20">
        <v>2.072538860103627E-2</v>
      </c>
      <c r="F20">
        <v>1.3816925734024179E-2</v>
      </c>
      <c r="G20">
        <v>0</v>
      </c>
      <c r="H20">
        <v>5.1813471502590676E-3</v>
      </c>
      <c r="I20">
        <v>0</v>
      </c>
      <c r="J20">
        <v>1.3816925734024179E-2</v>
      </c>
      <c r="K20">
        <v>2.9360967184801381E-2</v>
      </c>
      <c r="L20">
        <v>0</v>
      </c>
      <c r="M20">
        <v>0</v>
      </c>
      <c r="N20">
        <v>3.4542314335060447E-3</v>
      </c>
      <c r="O20">
        <v>1.3816925734024179E-2</v>
      </c>
      <c r="P20">
        <v>0</v>
      </c>
      <c r="Q20">
        <v>0</v>
      </c>
      <c r="R20">
        <v>0</v>
      </c>
      <c r="S20">
        <v>3.7996545768566495E-2</v>
      </c>
      <c r="T20">
        <v>0</v>
      </c>
      <c r="U20">
        <v>0</v>
      </c>
      <c r="V20">
        <v>0.13298791018998274</v>
      </c>
      <c r="W20">
        <v>0</v>
      </c>
      <c r="X20">
        <v>5.5267702936096716E-2</v>
      </c>
      <c r="Y20">
        <v>0</v>
      </c>
      <c r="Z20">
        <v>0</v>
      </c>
      <c r="AA20">
        <v>0</v>
      </c>
      <c r="AB20">
        <v>5.5267702936096716E-2</v>
      </c>
      <c r="AC20">
        <v>1.2089810017271158E-2</v>
      </c>
      <c r="AD20">
        <v>3.4542314335060447E-3</v>
      </c>
      <c r="AE20">
        <v>0</v>
      </c>
      <c r="AF20">
        <v>0</v>
      </c>
      <c r="AG20">
        <v>0</v>
      </c>
      <c r="AH20">
        <v>0</v>
      </c>
      <c r="AI20">
        <v>5.1813471502590676E-3</v>
      </c>
      <c r="AJ20">
        <v>5.1813471502590676E-3</v>
      </c>
      <c r="AK20">
        <v>0</v>
      </c>
      <c r="AL20">
        <v>0</v>
      </c>
      <c r="AM20">
        <v>0.21934369602763384</v>
      </c>
      <c r="AN20">
        <v>0</v>
      </c>
      <c r="AO20">
        <v>0.17616580310880828</v>
      </c>
      <c r="AP20">
        <v>0</v>
      </c>
      <c r="AQ20">
        <v>0</v>
      </c>
      <c r="AR20">
        <v>0.15025906735751296</v>
      </c>
      <c r="AS20">
        <v>6.9084628670120895E-3</v>
      </c>
      <c r="AT20">
        <v>1.0362694300518135E-2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">
      <c r="A21" t="s">
        <v>632</v>
      </c>
      <c r="B21">
        <v>23911.27</v>
      </c>
      <c r="C21">
        <v>0</v>
      </c>
      <c r="D21">
        <v>1.5985790408525755E-2</v>
      </c>
      <c r="E21">
        <v>5.3285968028419185E-3</v>
      </c>
      <c r="F21">
        <v>3.552397868561279E-3</v>
      </c>
      <c r="G21">
        <v>0</v>
      </c>
      <c r="H21">
        <v>5.3285968028419185E-3</v>
      </c>
      <c r="I21">
        <v>0</v>
      </c>
      <c r="J21">
        <v>1.9538188277087035E-2</v>
      </c>
      <c r="K21">
        <v>3.1971580817051509E-2</v>
      </c>
      <c r="L21">
        <v>3.7300177619893425E-2</v>
      </c>
      <c r="M21">
        <v>0</v>
      </c>
      <c r="N21">
        <v>0</v>
      </c>
      <c r="O21">
        <v>1.2433392539964476E-2</v>
      </c>
      <c r="P21">
        <v>0</v>
      </c>
      <c r="Q21">
        <v>0</v>
      </c>
      <c r="R21">
        <v>0</v>
      </c>
      <c r="S21">
        <v>3.7300177619893425E-2</v>
      </c>
      <c r="T21">
        <v>0</v>
      </c>
      <c r="U21">
        <v>0</v>
      </c>
      <c r="V21">
        <v>4.4404973357015987E-2</v>
      </c>
      <c r="W21">
        <v>0</v>
      </c>
      <c r="X21">
        <v>2.664298401420959E-2</v>
      </c>
      <c r="Y21">
        <v>0</v>
      </c>
      <c r="Z21">
        <v>0</v>
      </c>
      <c r="AA21">
        <v>0</v>
      </c>
      <c r="AB21">
        <v>0.10479573712255773</v>
      </c>
      <c r="AC21">
        <v>1.0657193605683837E-2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7.104795737122558E-3</v>
      </c>
      <c r="AJ21">
        <v>1.4209591474245116E-2</v>
      </c>
      <c r="AK21">
        <v>0</v>
      </c>
      <c r="AL21">
        <v>0</v>
      </c>
      <c r="AM21">
        <v>0.24156305506216696</v>
      </c>
      <c r="AN21">
        <v>0</v>
      </c>
      <c r="AO21">
        <v>0.21314387211367672</v>
      </c>
      <c r="AP21">
        <v>0</v>
      </c>
      <c r="AQ21">
        <v>8.8809946714031966E-3</v>
      </c>
      <c r="AR21">
        <v>0.14209591474245115</v>
      </c>
      <c r="AS21">
        <v>8.8809946714031966E-3</v>
      </c>
      <c r="AT21">
        <v>3.552397868561279E-3</v>
      </c>
      <c r="AU21">
        <v>0</v>
      </c>
      <c r="AV21">
        <v>0</v>
      </c>
      <c r="AW21">
        <v>5.3285968028419185E-3</v>
      </c>
      <c r="AX21">
        <v>0</v>
      </c>
      <c r="AY21">
        <v>0</v>
      </c>
    </row>
    <row r="22" spans="1:51" x14ac:dyDescent="0.3">
      <c r="A22" t="s">
        <v>632</v>
      </c>
      <c r="B22">
        <v>24242.54</v>
      </c>
      <c r="C22">
        <v>0</v>
      </c>
      <c r="D22">
        <v>1.8456375838926176E-2</v>
      </c>
      <c r="E22">
        <v>1.0067114093959731E-2</v>
      </c>
      <c r="F22">
        <v>1.3422818791946308E-2</v>
      </c>
      <c r="G22">
        <v>0</v>
      </c>
      <c r="H22">
        <v>1.8456375838926176E-2</v>
      </c>
      <c r="I22">
        <v>0</v>
      </c>
      <c r="J22">
        <v>1.3422818791946308E-2</v>
      </c>
      <c r="K22">
        <v>4.1946308724832217E-2</v>
      </c>
      <c r="L22">
        <v>2.8523489932885907E-2</v>
      </c>
      <c r="M22">
        <v>0</v>
      </c>
      <c r="N22">
        <v>0</v>
      </c>
      <c r="O22">
        <v>2.6845637583892617E-2</v>
      </c>
      <c r="P22">
        <v>0</v>
      </c>
      <c r="Q22">
        <v>0</v>
      </c>
      <c r="R22">
        <v>0</v>
      </c>
      <c r="S22">
        <v>1.1744966442953021E-2</v>
      </c>
      <c r="T22">
        <v>0</v>
      </c>
      <c r="U22">
        <v>0</v>
      </c>
      <c r="V22">
        <v>5.2013422818791948E-2</v>
      </c>
      <c r="W22">
        <v>0</v>
      </c>
      <c r="X22">
        <v>8.389261744966443E-3</v>
      </c>
      <c r="Y22">
        <v>0</v>
      </c>
      <c r="Z22">
        <v>0</v>
      </c>
      <c r="AA22">
        <v>0</v>
      </c>
      <c r="AB22">
        <v>0.14932885906040269</v>
      </c>
      <c r="AC22">
        <v>1.8456375838926176E-2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1.1744966442953021E-2</v>
      </c>
      <c r="AJ22">
        <v>5.0335570469798654E-3</v>
      </c>
      <c r="AK22">
        <v>0</v>
      </c>
      <c r="AL22">
        <v>0</v>
      </c>
      <c r="AM22">
        <v>0.19966442953020133</v>
      </c>
      <c r="AN22">
        <v>0</v>
      </c>
      <c r="AO22">
        <v>0.20973154362416108</v>
      </c>
      <c r="AP22">
        <v>0</v>
      </c>
      <c r="AQ22">
        <v>1.3422818791946308E-2</v>
      </c>
      <c r="AR22">
        <v>0.14093959731543623</v>
      </c>
      <c r="AS22">
        <v>0</v>
      </c>
      <c r="AT22">
        <v>8.389261744966443E-3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3">
      <c r="A23" t="s">
        <v>632</v>
      </c>
      <c r="B23">
        <v>24573.82</v>
      </c>
      <c r="C23">
        <v>0</v>
      </c>
      <c r="D23">
        <v>2.1523178807947019E-2</v>
      </c>
      <c r="E23">
        <v>9.9337748344370865E-3</v>
      </c>
      <c r="F23">
        <v>9.9337748344370865E-3</v>
      </c>
      <c r="G23">
        <v>0</v>
      </c>
      <c r="H23">
        <v>2.1523178807947019E-2</v>
      </c>
      <c r="I23">
        <v>0</v>
      </c>
      <c r="J23">
        <v>6.6225165562913907E-3</v>
      </c>
      <c r="K23">
        <v>3.9735099337748346E-2</v>
      </c>
      <c r="L23">
        <v>2.4834437086092714E-2</v>
      </c>
      <c r="M23">
        <v>0</v>
      </c>
      <c r="N23">
        <v>0</v>
      </c>
      <c r="O23">
        <v>2.3178807947019868E-2</v>
      </c>
      <c r="P23">
        <v>0</v>
      </c>
      <c r="Q23">
        <v>0</v>
      </c>
      <c r="R23">
        <v>1.1589403973509934E-2</v>
      </c>
      <c r="S23">
        <v>1.6556291390728478E-2</v>
      </c>
      <c r="T23">
        <v>0</v>
      </c>
      <c r="U23">
        <v>0</v>
      </c>
      <c r="V23">
        <v>3.6423841059602648E-2</v>
      </c>
      <c r="W23">
        <v>0</v>
      </c>
      <c r="X23">
        <v>9.9337748344370865E-3</v>
      </c>
      <c r="Y23">
        <v>0</v>
      </c>
      <c r="Z23">
        <v>0</v>
      </c>
      <c r="AA23">
        <v>0</v>
      </c>
      <c r="AB23">
        <v>0.16225165562913907</v>
      </c>
      <c r="AC23">
        <v>2.3178807947019868E-2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1.4900662251655629E-2</v>
      </c>
      <c r="AJ23">
        <v>1.3245033112582781E-2</v>
      </c>
      <c r="AK23">
        <v>0</v>
      </c>
      <c r="AL23">
        <v>0</v>
      </c>
      <c r="AM23">
        <v>0.19205298013245034</v>
      </c>
      <c r="AN23">
        <v>0</v>
      </c>
      <c r="AO23">
        <v>0.19701986754966888</v>
      </c>
      <c r="AP23">
        <v>0</v>
      </c>
      <c r="AQ23">
        <v>1.8211920529801324E-2</v>
      </c>
      <c r="AR23">
        <v>0.12417218543046357</v>
      </c>
      <c r="AS23">
        <v>9.9337748344370865E-3</v>
      </c>
      <c r="AT23">
        <v>1.3245033112582781E-2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">
      <c r="A24" t="s">
        <v>632</v>
      </c>
      <c r="B24">
        <v>24905.09</v>
      </c>
      <c r="C24">
        <v>0</v>
      </c>
      <c r="D24">
        <v>1.1475409836065573E-2</v>
      </c>
      <c r="E24">
        <v>1.4754098360655738E-2</v>
      </c>
      <c r="F24">
        <v>1.1475409836065573E-2</v>
      </c>
      <c r="G24">
        <v>0</v>
      </c>
      <c r="H24">
        <v>1.9672131147540985E-2</v>
      </c>
      <c r="I24">
        <v>0</v>
      </c>
      <c r="J24">
        <v>1.4754098360655738E-2</v>
      </c>
      <c r="K24">
        <v>3.7704918032786888E-2</v>
      </c>
      <c r="L24">
        <v>2.4590163934426229E-2</v>
      </c>
      <c r="M24">
        <v>1.8032786885245903E-2</v>
      </c>
      <c r="N24">
        <v>0</v>
      </c>
      <c r="O24">
        <v>2.6229508196721311E-2</v>
      </c>
      <c r="P24">
        <v>0</v>
      </c>
      <c r="Q24">
        <v>0</v>
      </c>
      <c r="R24">
        <v>1.3114754098360656E-2</v>
      </c>
      <c r="S24">
        <v>2.1311475409836064E-2</v>
      </c>
      <c r="T24">
        <v>0</v>
      </c>
      <c r="U24">
        <v>0</v>
      </c>
      <c r="V24">
        <v>2.4590163934426229E-2</v>
      </c>
      <c r="W24">
        <v>0</v>
      </c>
      <c r="X24">
        <v>1.4754098360655738E-2</v>
      </c>
      <c r="Y24">
        <v>0</v>
      </c>
      <c r="Z24">
        <v>0</v>
      </c>
      <c r="AA24">
        <v>0</v>
      </c>
      <c r="AB24">
        <v>0.15901639344262294</v>
      </c>
      <c r="AC24">
        <v>1.8032786885245903E-2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1.3114754098360656E-2</v>
      </c>
      <c r="AJ24">
        <v>8.1967213114754103E-3</v>
      </c>
      <c r="AK24">
        <v>0</v>
      </c>
      <c r="AL24">
        <v>0</v>
      </c>
      <c r="AM24">
        <v>0.18524590163934426</v>
      </c>
      <c r="AN24">
        <v>0</v>
      </c>
      <c r="AO24">
        <v>0.21147540983606558</v>
      </c>
      <c r="AP24">
        <v>0</v>
      </c>
      <c r="AQ24">
        <v>1.9672131147540985E-2</v>
      </c>
      <c r="AR24">
        <v>0.11475409836065574</v>
      </c>
      <c r="AS24">
        <v>8.1967213114754103E-3</v>
      </c>
      <c r="AT24">
        <v>9.8360655737704927E-3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3">
      <c r="A25" t="s">
        <v>632</v>
      </c>
      <c r="B25">
        <v>25070.73</v>
      </c>
      <c r="C25">
        <v>0</v>
      </c>
      <c r="D25">
        <v>1.4260249554367201E-2</v>
      </c>
      <c r="E25">
        <v>2.1390374331550801E-2</v>
      </c>
      <c r="F25">
        <v>3.5650623885918001E-3</v>
      </c>
      <c r="G25">
        <v>0</v>
      </c>
      <c r="H25">
        <v>2.1390374331550801E-2</v>
      </c>
      <c r="I25">
        <v>0</v>
      </c>
      <c r="J25">
        <v>1.9607843137254902E-2</v>
      </c>
      <c r="K25">
        <v>3.5650623885918005E-2</v>
      </c>
      <c r="L25">
        <v>1.9607843137254902E-2</v>
      </c>
      <c r="M25">
        <v>0</v>
      </c>
      <c r="N25">
        <v>0</v>
      </c>
      <c r="O25">
        <v>1.9607843137254902E-2</v>
      </c>
      <c r="P25">
        <v>0</v>
      </c>
      <c r="Q25">
        <v>0</v>
      </c>
      <c r="R25">
        <v>3.5650623885918001E-3</v>
      </c>
      <c r="S25">
        <v>3.0303030303030304E-2</v>
      </c>
      <c r="T25">
        <v>0</v>
      </c>
      <c r="U25">
        <v>0</v>
      </c>
      <c r="V25">
        <v>3.0303030303030304E-2</v>
      </c>
      <c r="W25">
        <v>0</v>
      </c>
      <c r="X25">
        <v>1.6042780748663103E-2</v>
      </c>
      <c r="Y25">
        <v>0</v>
      </c>
      <c r="Z25">
        <v>0</v>
      </c>
      <c r="AA25">
        <v>0</v>
      </c>
      <c r="AB25">
        <v>0.16042780748663102</v>
      </c>
      <c r="AC25">
        <v>3.5650623885918001E-3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7.1301247771836003E-3</v>
      </c>
      <c r="AJ25">
        <v>5.3475935828877002E-3</v>
      </c>
      <c r="AK25">
        <v>0</v>
      </c>
      <c r="AL25">
        <v>0</v>
      </c>
      <c r="AM25">
        <v>0.21568627450980393</v>
      </c>
      <c r="AN25">
        <v>0</v>
      </c>
      <c r="AO25">
        <v>0.23529411764705882</v>
      </c>
      <c r="AP25">
        <v>0</v>
      </c>
      <c r="AQ25">
        <v>7.1301247771836003E-3</v>
      </c>
      <c r="AR25">
        <v>0.12121212121212122</v>
      </c>
      <c r="AS25">
        <v>1.7825311942959001E-3</v>
      </c>
      <c r="AT25">
        <v>7.1301247771836003E-3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3">
      <c r="A26" t="s">
        <v>632</v>
      </c>
      <c r="B26">
        <v>26041.67</v>
      </c>
      <c r="C26">
        <v>0</v>
      </c>
      <c r="D26">
        <v>1.8932874354561102E-2</v>
      </c>
      <c r="E26">
        <v>1.8932874354561102E-2</v>
      </c>
      <c r="F26">
        <v>1.3769363166953529E-2</v>
      </c>
      <c r="G26">
        <v>0</v>
      </c>
      <c r="H26">
        <v>1.8932874354561102E-2</v>
      </c>
      <c r="I26">
        <v>0</v>
      </c>
      <c r="J26">
        <v>1.2048192771084338E-2</v>
      </c>
      <c r="K26">
        <v>4.4750430292598967E-2</v>
      </c>
      <c r="L26">
        <v>2.9259896729776247E-2</v>
      </c>
      <c r="M26">
        <v>1.3769363166953529E-2</v>
      </c>
      <c r="N26">
        <v>0</v>
      </c>
      <c r="O26">
        <v>2.0654044750430294E-2</v>
      </c>
      <c r="P26">
        <v>0</v>
      </c>
      <c r="Q26">
        <v>0</v>
      </c>
      <c r="R26">
        <v>1.3769363166953529E-2</v>
      </c>
      <c r="S26">
        <v>1.2048192771084338E-2</v>
      </c>
      <c r="T26">
        <v>0</v>
      </c>
      <c r="U26">
        <v>0</v>
      </c>
      <c r="V26">
        <v>2.5817555938037865E-2</v>
      </c>
      <c r="W26">
        <v>1.2048192771084338E-2</v>
      </c>
      <c r="X26">
        <v>1.549053356282272E-2</v>
      </c>
      <c r="Y26">
        <v>0</v>
      </c>
      <c r="Z26">
        <v>0</v>
      </c>
      <c r="AA26">
        <v>0</v>
      </c>
      <c r="AB26">
        <v>0.153184165232358</v>
      </c>
      <c r="AC26">
        <v>1.8932874354561102E-2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1.3769363166953529E-2</v>
      </c>
      <c r="AJ26">
        <v>1.0327022375215147E-2</v>
      </c>
      <c r="AK26">
        <v>0</v>
      </c>
      <c r="AL26">
        <v>0</v>
      </c>
      <c r="AM26">
        <v>0.17900172117039587</v>
      </c>
      <c r="AN26">
        <v>0</v>
      </c>
      <c r="AO26">
        <v>0.20137693631669534</v>
      </c>
      <c r="AP26">
        <v>0</v>
      </c>
      <c r="AQ26">
        <v>1.549053356282272E-2</v>
      </c>
      <c r="AR26">
        <v>0.11876075731497418</v>
      </c>
      <c r="AS26">
        <v>1.0327022375215147E-2</v>
      </c>
      <c r="AT26">
        <v>8.6058519793459545E-3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3">
      <c r="A27" t="s">
        <v>632</v>
      </c>
      <c r="B27">
        <v>27321</v>
      </c>
      <c r="C27">
        <v>0</v>
      </c>
      <c r="D27">
        <v>1.6635859519408502E-2</v>
      </c>
      <c r="E27">
        <v>2.4029574861367836E-2</v>
      </c>
      <c r="F27">
        <v>0</v>
      </c>
      <c r="G27">
        <v>0</v>
      </c>
      <c r="H27">
        <v>1.6635859519408502E-2</v>
      </c>
      <c r="I27">
        <v>1.2939001848428836E-2</v>
      </c>
      <c r="J27">
        <v>0</v>
      </c>
      <c r="K27">
        <v>5.1756007393715345E-2</v>
      </c>
      <c r="L27">
        <v>2.9574861367837338E-2</v>
      </c>
      <c r="M27">
        <v>0</v>
      </c>
      <c r="N27">
        <v>0</v>
      </c>
      <c r="O27">
        <v>9.242144177449169E-3</v>
      </c>
      <c r="P27">
        <v>0</v>
      </c>
      <c r="Q27">
        <v>3.6968576709796672E-3</v>
      </c>
      <c r="R27">
        <v>0</v>
      </c>
      <c r="S27">
        <v>0</v>
      </c>
      <c r="T27">
        <v>0</v>
      </c>
      <c r="U27">
        <v>0</v>
      </c>
      <c r="V27">
        <v>3.1423290203327174E-2</v>
      </c>
      <c r="W27">
        <v>0</v>
      </c>
      <c r="X27">
        <v>2.2181146025878003E-2</v>
      </c>
      <c r="Y27">
        <v>0</v>
      </c>
      <c r="Z27">
        <v>0</v>
      </c>
      <c r="AA27">
        <v>0</v>
      </c>
      <c r="AB27">
        <v>0.1478743068391867</v>
      </c>
      <c r="AC27">
        <v>4.6210720887245843E-2</v>
      </c>
      <c r="AD27">
        <v>0</v>
      </c>
      <c r="AE27">
        <v>1.6635859519408502E-2</v>
      </c>
      <c r="AF27">
        <v>0</v>
      </c>
      <c r="AG27">
        <v>0</v>
      </c>
      <c r="AH27">
        <v>0</v>
      </c>
      <c r="AI27">
        <v>2.2181146025878003E-2</v>
      </c>
      <c r="AJ27">
        <v>9.242144177449169E-3</v>
      </c>
      <c r="AK27">
        <v>0</v>
      </c>
      <c r="AL27">
        <v>0</v>
      </c>
      <c r="AM27">
        <v>0.19408502772643252</v>
      </c>
      <c r="AN27">
        <v>0</v>
      </c>
      <c r="AO27">
        <v>0.20332717190388169</v>
      </c>
      <c r="AP27">
        <v>0</v>
      </c>
      <c r="AQ27">
        <v>9.242144177449169E-3</v>
      </c>
      <c r="AR27">
        <v>0.11275415896487985</v>
      </c>
      <c r="AS27">
        <v>7.3937153419593345E-3</v>
      </c>
      <c r="AT27">
        <v>1.2939001848428836E-2</v>
      </c>
      <c r="AU27">
        <v>0</v>
      </c>
      <c r="AV27">
        <v>0</v>
      </c>
      <c r="AW27">
        <v>0</v>
      </c>
      <c r="AX27">
        <v>0</v>
      </c>
      <c r="AY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sedaDNA</vt:lpstr>
      <vt:lpstr>n_alkanes</vt:lpstr>
      <vt:lpstr>R</vt:lpstr>
      <vt:lpstr>Present_day</vt:lpstr>
      <vt:lpstr>Regional_Paleoclimate</vt:lpstr>
      <vt:lpstr>NGRIP</vt:lpstr>
      <vt:lpstr>Raw_pollen_data</vt:lpstr>
      <vt:lpstr>Climate_c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Marco Adolfo Vidal Cordasco</cp:lastModifiedBy>
  <dcterms:created xsi:type="dcterms:W3CDTF">2015-06-05T18:19:34Z</dcterms:created>
  <dcterms:modified xsi:type="dcterms:W3CDTF">2026-06-21T13:01:40Z</dcterms:modified>
</cp:coreProperties>
</file>