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6\nalkanes-Verdeospesoa\"/>
    </mc:Choice>
  </mc:AlternateContent>
  <xr:revisionPtr revIDLastSave="0" documentId="13_ncr:1_{EEF015E9-E997-4E24-9FA9-CD91D364B21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1" r:id="rId1"/>
    <sheet name="R" sheetId="8" r:id="rId2"/>
    <sheet name="dna" sheetId="11" r:id="rId3"/>
    <sheet name="dna_Table" sheetId="12" r:id="rId4"/>
    <sheet name="Hoja11" sheetId="13" r:id="rId5"/>
    <sheet name="Hoja8" sheetId="10" r:id="rId6"/>
    <sheet name="NGRIP" sheetId="9" r:id="rId7"/>
    <sheet name="Hoja7" sheetId="7" r:id="rId8"/>
    <sheet name="Hoja6" sheetId="6" r:id="rId9"/>
    <sheet name="Hoja5" sheetId="5" r:id="rId10"/>
    <sheet name="Hoja4" sheetId="4" r:id="rId11"/>
    <sheet name="Hoja2" sheetId="2" r:id="rId12"/>
    <sheet name="Hoja3" sheetId="3" r:id="rId13"/>
  </sheets>
  <definedNames>
    <definedName name="_xlnm._FilterDatabase" localSheetId="0" hidden="1">Hoja1!$A$1:$X$28</definedName>
    <definedName name="_xlnm._FilterDatabase" localSheetId="11" hidden="1">Hoja2!$A$1:$X$22</definedName>
    <definedName name="_xlnm._FilterDatabase" localSheetId="7" hidden="1">Hoja7!$A$1:$D$45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8" l="1"/>
  <c r="D31" i="8"/>
  <c r="U2" i="1"/>
  <c r="K2" i="8"/>
  <c r="K3" i="8"/>
  <c r="K5" i="8"/>
  <c r="K7" i="8"/>
  <c r="K9" i="8"/>
  <c r="K10" i="8"/>
  <c r="K11" i="8"/>
  <c r="K12" i="8"/>
  <c r="K13" i="8"/>
  <c r="K14" i="8"/>
  <c r="K15" i="8"/>
  <c r="K16" i="8"/>
  <c r="K17" i="8"/>
  <c r="K19" i="8"/>
  <c r="K20" i="8"/>
  <c r="K21" i="8"/>
  <c r="K22" i="8"/>
  <c r="K23" i="8"/>
  <c r="K24" i="8"/>
  <c r="K25" i="8"/>
  <c r="K26" i="8"/>
  <c r="K27" i="8"/>
  <c r="K28" i="8"/>
  <c r="AH2" i="8"/>
  <c r="H2" i="8"/>
  <c r="AI28" i="8"/>
  <c r="AI26" i="8"/>
  <c r="AI24" i="8"/>
  <c r="AI23" i="8"/>
  <c r="AI22" i="8"/>
  <c r="AI21" i="8"/>
  <c r="AI19" i="8"/>
  <c r="AI17" i="8"/>
  <c r="AI15" i="8"/>
  <c r="AI11" i="8"/>
  <c r="AI2" i="8"/>
  <c r="AH12" i="8"/>
  <c r="AH8" i="8"/>
  <c r="AH9" i="8"/>
  <c r="AH10" i="8"/>
  <c r="AH11" i="8"/>
  <c r="AH13" i="8"/>
  <c r="AH15" i="8"/>
  <c r="AH16" i="8"/>
  <c r="AH17" i="8"/>
  <c r="AH19" i="8"/>
  <c r="AH20" i="8"/>
  <c r="AH21" i="8"/>
  <c r="AH22" i="8"/>
  <c r="AH23" i="8"/>
  <c r="AH24" i="8"/>
  <c r="AH26" i="8"/>
  <c r="AH28" i="8"/>
  <c r="AH5" i="8"/>
  <c r="Q2" i="1"/>
  <c r="H3" i="8"/>
  <c r="H5" i="8"/>
  <c r="H7" i="8"/>
  <c r="H8" i="8"/>
  <c r="H9" i="8"/>
  <c r="H10" i="8"/>
  <c r="H11" i="8"/>
  <c r="H12" i="8"/>
  <c r="H13" i="8"/>
  <c r="H14" i="8"/>
  <c r="H15" i="8"/>
  <c r="H16" i="8"/>
  <c r="H17" i="8"/>
  <c r="H19" i="8"/>
  <c r="H20" i="8"/>
  <c r="H21" i="8"/>
  <c r="H22" i="8"/>
  <c r="H23" i="8"/>
  <c r="H24" i="8"/>
  <c r="H25" i="8"/>
  <c r="H26" i="8"/>
  <c r="H27" i="8"/>
  <c r="H28" i="8"/>
  <c r="W5" i="13"/>
  <c r="W6" i="13"/>
  <c r="W7" i="13"/>
  <c r="W8" i="13"/>
  <c r="W9" i="13"/>
  <c r="W10" i="13"/>
  <c r="W11" i="13"/>
  <c r="W12" i="13"/>
  <c r="F27" i="12" a="1"/>
  <c r="F27" i="12" s="1"/>
  <c r="G27" i="12" a="1"/>
  <c r="G27" i="12" s="1"/>
  <c r="H27" i="12" a="1"/>
  <c r="H27" i="12" s="1"/>
  <c r="I27" i="12" a="1"/>
  <c r="I27" i="12" s="1"/>
  <c r="J27" i="12" a="1"/>
  <c r="J27" i="12" s="1"/>
  <c r="K27" i="12" a="1"/>
  <c r="K27" i="12" s="1"/>
  <c r="L27" i="12" a="1"/>
  <c r="L27" i="12" s="1"/>
  <c r="M27" i="12" a="1"/>
  <c r="M27" i="12" s="1"/>
  <c r="N27" i="12" a="1"/>
  <c r="N27" i="12" s="1"/>
  <c r="O27" i="12" a="1"/>
  <c r="O27" i="12" s="1"/>
  <c r="P27" i="12" a="1"/>
  <c r="P27" i="12" s="1"/>
  <c r="Q27" i="12" a="1"/>
  <c r="Q27" i="12" s="1"/>
  <c r="R27" i="12" a="1"/>
  <c r="R27" i="12" s="1"/>
  <c r="S27" i="12" a="1"/>
  <c r="S27" i="12" s="1"/>
  <c r="T27" i="12" a="1"/>
  <c r="T27" i="12" s="1"/>
  <c r="E27" i="12" a="1"/>
  <c r="E27" i="12" s="1"/>
  <c r="E25" i="12"/>
  <c r="F26" i="12"/>
  <c r="H26" i="12"/>
  <c r="J26" i="12"/>
  <c r="L26" i="12"/>
  <c r="N26" i="12"/>
  <c r="P26" i="12"/>
  <c r="R26" i="12"/>
  <c r="G25" i="12"/>
  <c r="G26" i="12" s="1"/>
  <c r="I25" i="12"/>
  <c r="I26" i="12" s="1"/>
  <c r="K25" i="12"/>
  <c r="K26" i="12" s="1"/>
  <c r="M25" i="12"/>
  <c r="M26" i="12" s="1"/>
  <c r="O25" i="12"/>
  <c r="O26" i="12" s="1"/>
  <c r="Q25" i="12"/>
  <c r="Q26" i="12" s="1"/>
  <c r="S25" i="12"/>
  <c r="S26" i="12" s="1"/>
  <c r="L13" i="11"/>
  <c r="L12" i="11"/>
  <c r="L4" i="11"/>
  <c r="L3" i="11"/>
  <c r="X7" i="1"/>
  <c r="X2" i="1"/>
  <c r="S2" i="1"/>
  <c r="W2" i="1"/>
  <c r="Q3" i="1"/>
  <c r="Q5" i="1"/>
  <c r="Q7" i="1"/>
  <c r="Q8" i="1"/>
  <c r="Q9" i="1"/>
  <c r="Q10" i="1"/>
  <c r="Q11" i="1"/>
  <c r="Q12" i="1"/>
  <c r="Q13" i="1"/>
  <c r="Q14" i="1"/>
  <c r="Q15" i="1"/>
  <c r="Q16" i="1"/>
  <c r="Q17" i="1"/>
  <c r="Q19" i="1"/>
  <c r="Q20" i="1"/>
  <c r="Q21" i="1"/>
  <c r="Q22" i="1"/>
  <c r="Q23" i="1"/>
  <c r="Q24" i="1"/>
  <c r="Q25" i="1"/>
  <c r="Q26" i="1"/>
  <c r="Q27" i="1"/>
  <c r="Q28" i="1"/>
  <c r="T3" i="1"/>
  <c r="T5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8" i="1"/>
  <c r="T2" i="1"/>
  <c r="V17" i="1"/>
  <c r="V3" i="1"/>
  <c r="V5" i="1"/>
  <c r="V7" i="1"/>
  <c r="V8" i="1"/>
  <c r="V9" i="1"/>
  <c r="V10" i="1"/>
  <c r="V11" i="1"/>
  <c r="V12" i="1"/>
  <c r="V13" i="1"/>
  <c r="V14" i="1"/>
  <c r="V15" i="1"/>
  <c r="V16" i="1"/>
  <c r="V19" i="1"/>
  <c r="V20" i="1"/>
  <c r="V21" i="1"/>
  <c r="V22" i="1"/>
  <c r="V23" i="1"/>
  <c r="V24" i="1"/>
  <c r="V25" i="1"/>
  <c r="V26" i="1"/>
  <c r="V27" i="1"/>
  <c r="V28" i="1"/>
  <c r="V2" i="1"/>
  <c r="P3" i="1"/>
  <c r="P5" i="1"/>
  <c r="P7" i="1"/>
  <c r="P8" i="1"/>
  <c r="P9" i="1"/>
  <c r="P10" i="1"/>
  <c r="P11" i="1"/>
  <c r="P12" i="1"/>
  <c r="P13" i="1"/>
  <c r="P14" i="1"/>
  <c r="P15" i="1"/>
  <c r="P16" i="1"/>
  <c r="P17" i="1"/>
  <c r="P19" i="1"/>
  <c r="P20" i="1"/>
  <c r="P21" i="1"/>
  <c r="P22" i="1"/>
  <c r="P23" i="1"/>
  <c r="P24" i="1"/>
  <c r="P25" i="1"/>
  <c r="P26" i="1"/>
  <c r="P27" i="1"/>
  <c r="P28" i="1"/>
  <c r="P2" i="1"/>
  <c r="W3" i="1"/>
  <c r="W5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R27" i="1"/>
  <c r="U27" i="1"/>
  <c r="U3" i="1"/>
  <c r="X3" i="1"/>
  <c r="X5" i="1"/>
  <c r="X8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8" i="1"/>
  <c r="U5" i="1"/>
  <c r="U7" i="1"/>
  <c r="U8" i="1"/>
  <c r="U9" i="1"/>
  <c r="U10" i="1"/>
  <c r="U11" i="1"/>
  <c r="U12" i="1"/>
  <c r="U13" i="1"/>
  <c r="U14" i="1"/>
  <c r="U15" i="1"/>
  <c r="U16" i="1"/>
  <c r="U17" i="1"/>
  <c r="U19" i="1"/>
  <c r="U20" i="1"/>
  <c r="U21" i="1"/>
  <c r="U22" i="1"/>
  <c r="U23" i="1"/>
  <c r="U24" i="1"/>
  <c r="U25" i="1"/>
  <c r="U26" i="1"/>
  <c r="U28" i="1"/>
  <c r="S3" i="1"/>
  <c r="S5" i="1"/>
  <c r="S7" i="1"/>
  <c r="S8" i="1"/>
  <c r="S9" i="1"/>
  <c r="S10" i="1"/>
  <c r="S11" i="1"/>
  <c r="S12" i="1"/>
  <c r="S13" i="1"/>
  <c r="S14" i="1"/>
  <c r="S15" i="1"/>
  <c r="S16" i="1"/>
  <c r="S17" i="1"/>
  <c r="S19" i="1"/>
  <c r="S20" i="1"/>
  <c r="S21" i="1"/>
  <c r="S22" i="1"/>
  <c r="S23" i="1"/>
  <c r="S24" i="1"/>
  <c r="S25" i="1"/>
  <c r="S26" i="1"/>
  <c r="S27" i="1"/>
  <c r="S28" i="1"/>
  <c r="R3" i="1"/>
  <c r="R25" i="1"/>
  <c r="R14" i="1"/>
  <c r="R5" i="1"/>
  <c r="R7" i="1"/>
  <c r="R8" i="1"/>
  <c r="R9" i="1"/>
  <c r="R10" i="1"/>
  <c r="R11" i="1"/>
  <c r="R12" i="1"/>
  <c r="R13" i="1"/>
  <c r="R15" i="1"/>
  <c r="R16" i="1"/>
  <c r="R17" i="1"/>
  <c r="R19" i="1"/>
  <c r="R20" i="1"/>
  <c r="R21" i="1"/>
  <c r="R22" i="1"/>
  <c r="R23" i="1"/>
  <c r="R24" i="1"/>
  <c r="R26" i="1"/>
  <c r="R28" i="1"/>
  <c r="R2" i="1"/>
  <c r="E26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<sst xmlns="http://schemas.openxmlformats.org/spreadsheetml/2006/main" count="852" uniqueCount="217">
  <si>
    <t>Core_section</t>
  </si>
  <si>
    <t>Sample</t>
  </si>
  <si>
    <t>Depth (cm)</t>
  </si>
  <si>
    <t>Notes</t>
  </si>
  <si>
    <t>C14</t>
  </si>
  <si>
    <t>DNA.</t>
  </si>
  <si>
    <t>Biomarkers</t>
  </si>
  <si>
    <t>ID</t>
  </si>
  <si>
    <t>A_225_200</t>
  </si>
  <si>
    <t>VP.225</t>
  </si>
  <si>
    <t>Gray silt with stones/sand (0.1-3 cm)</t>
  </si>
  <si>
    <t>X</t>
  </si>
  <si>
    <t>P</t>
  </si>
  <si>
    <t>VP.224</t>
  </si>
  <si>
    <t xml:space="preserve"> </t>
  </si>
  <si>
    <t>V.P._223</t>
  </si>
  <si>
    <t>V.P._221</t>
  </si>
  <si>
    <t>V.P._219</t>
  </si>
  <si>
    <t>V.P._217</t>
  </si>
  <si>
    <t>V.P._215</t>
  </si>
  <si>
    <t>V.P._213</t>
  </si>
  <si>
    <t>V.P._211</t>
  </si>
  <si>
    <t>Gray silt with some small stones (0.1-3 cm)</t>
  </si>
  <si>
    <t>V.P._209</t>
  </si>
  <si>
    <t xml:space="preserve">Gray silt </t>
  </si>
  <si>
    <t>V.P._207</t>
  </si>
  <si>
    <t>V.P._205</t>
  </si>
  <si>
    <t>V.P._203</t>
  </si>
  <si>
    <t>V.P._201</t>
  </si>
  <si>
    <t>B_220_150</t>
  </si>
  <si>
    <t>V.P._199</t>
  </si>
  <si>
    <t>Gray silt, more compacted than A_225_200, without stones</t>
  </si>
  <si>
    <t>V.P._197</t>
  </si>
  <si>
    <t>V.P._195</t>
  </si>
  <si>
    <t>V.P._193</t>
  </si>
  <si>
    <t>V.P._191</t>
  </si>
  <si>
    <t>V.P._189</t>
  </si>
  <si>
    <t>V.P._187</t>
  </si>
  <si>
    <t>V.P._185</t>
  </si>
  <si>
    <t>Gray silt with sand</t>
  </si>
  <si>
    <t>V.P._183</t>
  </si>
  <si>
    <t>V.P._181</t>
  </si>
  <si>
    <t>V.P._179</t>
  </si>
  <si>
    <t>V.P._177</t>
  </si>
  <si>
    <t>Gray silt</t>
  </si>
  <si>
    <t>V.P._175</t>
  </si>
  <si>
    <t>BECS #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</si>
  <si>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</si>
  <si>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</si>
  <si>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</si>
  <si>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</si>
  <si>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</si>
  <si>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</si>
  <si>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</si>
  <si>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</si>
  <si>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</si>
  <si>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</si>
  <si>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</si>
  <si>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</si>
  <si>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</si>
  <si>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</si>
  <si>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</si>
  <si>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</si>
  <si>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</si>
  <si>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</si>
  <si>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</si>
  <si>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</si>
  <si>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</si>
  <si>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</si>
  <si>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</si>
  <si>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CPI*1</t>
  </si>
  <si>
    <t>Luo, P., Peng, P., Lü, H., Zheng, Z., &amp; Wang, X. (2012). Latitudinal variations of CPI values of long-chain n-alkanes in surface soils: Evidence for CPI as a proxy of aridity. Science China Earth Sciences, 55(7), 1134-1146.</t>
  </si>
  <si>
    <t>ACL</t>
  </si>
  <si>
    <t>Age cal BP</t>
  </si>
  <si>
    <t>PAQ*2</t>
  </si>
  <si>
    <t>Ling, Y., Zheng, M., Wang, S., Sun, Q., Xie, B., &amp; Zhang, C. (2021). The Impact of Climatic and Environmental Factors on n‐Alkanes Indices in Southwestern Tibetan Plateau. Acta Geologica Sinica‐English Edition, 95(2), 648-658.</t>
  </si>
  <si>
    <t>c31/c29</t>
  </si>
  <si>
    <t>n/a</t>
  </si>
  <si>
    <t xml:space="preserve">dC19 </t>
  </si>
  <si>
    <t>dC20</t>
  </si>
  <si>
    <t>dC21</t>
  </si>
  <si>
    <t>dC22</t>
  </si>
  <si>
    <t>dC23</t>
  </si>
  <si>
    <t>dC24</t>
  </si>
  <si>
    <t>dC25</t>
  </si>
  <si>
    <t>dC26</t>
  </si>
  <si>
    <t>dC27</t>
  </si>
  <si>
    <t>dC28</t>
  </si>
  <si>
    <t>dC29</t>
  </si>
  <si>
    <t>dC30</t>
  </si>
  <si>
    <t>dC31</t>
  </si>
  <si>
    <t>dc29/31</t>
  </si>
  <si>
    <t>https://www.sciencedirect.com/science/article/pii/S0079661121001713?casa_token=aqFNP4wsrxUAAAAA:05nRL2RrL0rUn2M0rbO75_XTEoeBW9hWbtmLEPBMONBC3um_qYQa0k1KKTr2eMR5nl_nVB-d_G1f</t>
  </si>
  <si>
    <t>https://www.sciencedirect.com/science/article/pii/S1040618214000597?casa_token=hTSY0_GnWjEAAAAA:UGLzu4yGEtX7fdxeHQKtMlPnvLg8twyXkhNc1caB1bLgqPYFFMIvaJ8cyb8UbB8NNgNGno6I6WlK</t>
  </si>
  <si>
    <t>https://www.sciencedirect.com/science/article/pii/S0166516216306048?casa_token=C8VY0c73-XcAAAAA:znM19PUkw4ED5r-DhEK7vieD-Yog_uBt6VZrAVOlOFHUCMRA9Me5erXb06f4Plqhlr3GsOt2qXTc</t>
  </si>
  <si>
    <t>“Los valores de δ¹³C de los n-alcanos de cadena larga (C27–C31) se mantienen relativamente constantes a lo largo del perfil (–30 a –35‰), lo que indica una dominancia persistente de vegetación C3 y ausencia de cambios significativos en el tipo de flora regional. En contraste, los índices moleculares (PAQ, ACL y CPI) muestran variaciones claras, sugiriendo un aumento progresivo de la influencia acuática y cambios en la preservación de la materia orgánica. La presencia de valores extremadamente empobrecidos en ¹³C en los n-alcanos de cadena corta (C19–C20) en ciertos intervalos sugiere episodios de condiciones anóxicas y actividad metanogénica, coherentes con un proceso de humedalización del sistema. Estos resultados indican que los cambios ambientales observados están principalmente relacionados con la hidrología local y no con una reorganización de la vegetación regional.”</t>
  </si>
  <si>
    <t>CalAge</t>
  </si>
  <si>
    <t>Agemin</t>
  </si>
  <si>
    <t>Agemanx</t>
  </si>
  <si>
    <t>depth</t>
  </si>
  <si>
    <t>min</t>
  </si>
  <si>
    <t>max</t>
  </si>
  <si>
    <t>mean</t>
  </si>
  <si>
    <t>CPI</t>
  </si>
  <si>
    <t>PAQ</t>
  </si>
  <si>
    <t>Depth</t>
  </si>
  <si>
    <t>SUM</t>
  </si>
  <si>
    <t>23/27+31</t>
  </si>
  <si>
    <t>PAQ1</t>
  </si>
  <si>
    <t>https://onlinelibrary.wiley.com/doi/full/10.1002/jqs.2943</t>
  </si>
  <si>
    <t>T</t>
  </si>
  <si>
    <t>ACL_19-33</t>
  </si>
  <si>
    <t>Age</t>
  </si>
  <si>
    <t>d18O</t>
  </si>
  <si>
    <t>ACL_c27-c31*2</t>
  </si>
  <si>
    <t>Family</t>
  </si>
  <si>
    <t>Genus</t>
  </si>
  <si>
    <t>Species</t>
  </si>
  <si>
    <t>Reads</t>
  </si>
  <si>
    <t>PCR runs</t>
  </si>
  <si>
    <t>21,000-20,223</t>
  </si>
  <si>
    <t>19,730-13,748</t>
  </si>
  <si>
    <t>13,368-12,565</t>
  </si>
  <si>
    <t>12,071-11,262</t>
  </si>
  <si>
    <t>11,840-11,045</t>
  </si>
  <si>
    <t>11,600-10697</t>
  </si>
  <si>
    <t>11,352-10,564</t>
  </si>
  <si>
    <t>10,346-10,513</t>
  </si>
  <si>
    <t>Juncaceae</t>
  </si>
  <si>
    <t>Juncus</t>
  </si>
  <si>
    <t>Juncus squarrosus</t>
  </si>
  <si>
    <t>95CI</t>
  </si>
  <si>
    <t>name</t>
  </si>
  <si>
    <t>n</t>
  </si>
  <si>
    <t>Juncus effusus</t>
  </si>
  <si>
    <t>Age (CI)</t>
  </si>
  <si>
    <t>Type</t>
  </si>
  <si>
    <t>Wetlands/macrophytes</t>
  </si>
  <si>
    <t>Cyperaceae</t>
  </si>
  <si>
    <t>Eriophorum</t>
  </si>
  <si>
    <t>Carex</t>
  </si>
  <si>
    <t>-</t>
  </si>
  <si>
    <t>Carex leporina, Carex chordorrhiza</t>
  </si>
  <si>
    <t>Eriophorum vaginatum</t>
  </si>
  <si>
    <t>Terrestrial herbaceus</t>
  </si>
  <si>
    <t>Asteraceae</t>
  </si>
  <si>
    <t>Poaceae</t>
  </si>
  <si>
    <t>Rosaceae</t>
  </si>
  <si>
    <t>Fabaceae</t>
  </si>
  <si>
    <t>Ranunculaeae</t>
  </si>
  <si>
    <t>Solanaeae</t>
  </si>
  <si>
    <t>Apiaceae</t>
  </si>
  <si>
    <t>Rubicaceae</t>
  </si>
  <si>
    <t>Campanulaceae</t>
  </si>
  <si>
    <t>Tephroseris</t>
  </si>
  <si>
    <t>Tephroseris integrifolia</t>
  </si>
  <si>
    <t>Potentilla</t>
  </si>
  <si>
    <t>Potentilla erecta</t>
  </si>
  <si>
    <t>Trifolium</t>
  </si>
  <si>
    <t>Trifolium repens</t>
  </si>
  <si>
    <t>Caltha</t>
  </si>
  <si>
    <t>Caltha palustris</t>
  </si>
  <si>
    <t>Galium</t>
  </si>
  <si>
    <t>Shrubs</t>
  </si>
  <si>
    <t>Ericaceae</t>
  </si>
  <si>
    <t>Adoxacae</t>
  </si>
  <si>
    <t>Trees</t>
  </si>
  <si>
    <t>Betulaceae</t>
  </si>
  <si>
    <t>Taxaceae</t>
  </si>
  <si>
    <t>Pinaceae</t>
  </si>
  <si>
    <t>Sambucus racemosa</t>
  </si>
  <si>
    <t>Sambucus</t>
  </si>
  <si>
    <t>Picea</t>
  </si>
  <si>
    <t>Betula</t>
  </si>
  <si>
    <t>Taxus</t>
  </si>
  <si>
    <t>%PCR</t>
  </si>
  <si>
    <t>Herbaceus</t>
  </si>
  <si>
    <t>D_29-31</t>
  </si>
  <si>
    <t>dC19</t>
  </si>
  <si>
    <t>D21</t>
  </si>
  <si>
    <t>D21SD</t>
  </si>
  <si>
    <t>D22</t>
  </si>
  <si>
    <t>D22SD</t>
  </si>
  <si>
    <t>D23</t>
  </si>
  <si>
    <t>D23SD</t>
  </si>
  <si>
    <t>D24</t>
  </si>
  <si>
    <t>D24SD</t>
  </si>
  <si>
    <t>D25</t>
  </si>
  <si>
    <t>D25SD</t>
  </si>
  <si>
    <t>D26</t>
  </si>
  <si>
    <t>D26SD</t>
  </si>
  <si>
    <t>D27</t>
  </si>
  <si>
    <t>D27SD</t>
  </si>
  <si>
    <t>D28</t>
  </si>
  <si>
    <t>D28SD</t>
  </si>
  <si>
    <t>D29</t>
  </si>
  <si>
    <t>D29SD</t>
  </si>
  <si>
    <t>D30</t>
  </si>
  <si>
    <t>D30SD</t>
  </si>
  <si>
    <t>D31</t>
  </si>
  <si>
    <t>D31SD</t>
  </si>
  <si>
    <t>dC19SD</t>
  </si>
  <si>
    <t>dC20SD</t>
  </si>
  <si>
    <t>dC21SD</t>
  </si>
  <si>
    <t>dC22SD</t>
  </si>
  <si>
    <t>dC23SD</t>
  </si>
  <si>
    <t>dC24SD</t>
  </si>
  <si>
    <t>dC25SD</t>
  </si>
  <si>
    <t>dC26SD</t>
  </si>
  <si>
    <t>dC27SD</t>
  </si>
  <si>
    <t>dC28SD</t>
  </si>
  <si>
    <t>dC29SD</t>
  </si>
  <si>
    <t>dC30SD</t>
  </si>
  <si>
    <t>dC31SD</t>
  </si>
  <si>
    <t>dD27_23</t>
  </si>
  <si>
    <t>c31/c27</t>
  </si>
  <si>
    <t>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</si>
</sst>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right"/>
    </xf>
    <xf numFmtId="0" fontId="0" fillId="7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Fill="1"/>
    <xf numFmtId="0" fontId="0" fillId="8" borderId="0" xfId="0" applyFill="1"/>
    <xf numFmtId="0" fontId="0" fillId="8" borderId="0" xfId="0" applyFill="1" applyAlignment="1">
      <alignment horizontal="right"/>
    </xf>
    <xf numFmtId="0" fontId="1" fillId="0" borderId="0" xfId="1"/>
    <xf numFmtId="0" fontId="0" fillId="0" borderId="0" xfId="0" applyAlignment="1">
      <alignment horizontal="center"/>
    </xf>
    <xf numFmtId="0" fontId="0" fillId="9" borderId="0" xfId="0" applyFill="1"/>
    <xf numFmtId="0" fontId="0" fillId="0" borderId="0" xfId="0" applyAlignment="1"/>
    <xf numFmtId="0" fontId="0" fillId="0" borderId="0" xfId="0" applyFont="1" applyFill="1"/>
    <xf numFmtId="0" fontId="0" fillId="10" borderId="0" xfId="0" applyFill="1"/>
    <xf numFmtId="0" fontId="0" fillId="11" borderId="0" xfId="0" applyFill="1"/>
    <xf numFmtId="0" fontId="2" fillId="0" borderId="2" xfId="2" applyNumberFormat="1" applyBorder="1" applyAlignment="1" applyProtection="1"/>
    <xf numFmtId="0" fontId="3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3">
    <cellStyle name="Hipervínculo" xfId="1" builtinId="8"/>
    <cellStyle name="Normal" xfId="0" builtinId="0"/>
    <cellStyle name="Título 2" xfId="2" builtinId="17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Hoja1!$S$1</c:f>
              <c:strCache>
                <c:ptCount val="1"/>
                <c:pt idx="0">
                  <c:v>ACL_c27-c31*2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Hoja1!$S$2:$S$28</c:f>
              <c:numCache>
                <c:formatCode>General</c:formatCode>
                <c:ptCount val="27"/>
                <c:pt idx="0">
                  <c:v>29.844183419923198</c:v>
                </c:pt>
                <c:pt idx="1">
                  <c:v>29.879500148765249</c:v>
                </c:pt>
                <c:pt idx="3">
                  <c:v>30.091277890466529</c:v>
                </c:pt>
                <c:pt idx="5">
                  <c:v>29.775343861436582</c:v>
                </c:pt>
                <c:pt idx="6">
                  <c:v>29.16013659237958</c:v>
                </c:pt>
                <c:pt idx="7">
                  <c:v>29.667530784186653</c:v>
                </c:pt>
                <c:pt idx="8">
                  <c:v>29.807387862796833</c:v>
                </c:pt>
                <c:pt idx="9">
                  <c:v>30.072282118009458</c:v>
                </c:pt>
                <c:pt idx="10">
                  <c:v>29.545454545454543</c:v>
                </c:pt>
                <c:pt idx="11">
                  <c:v>30.05408102175214</c:v>
                </c:pt>
                <c:pt idx="12">
                  <c:v>28.784052670080467</c:v>
                </c:pt>
                <c:pt idx="13">
                  <c:v>29.207180840100577</c:v>
                </c:pt>
                <c:pt idx="14">
                  <c:v>29.271297509829623</c:v>
                </c:pt>
                <c:pt idx="15">
                  <c:v>28.838657586182684</c:v>
                </c:pt>
                <c:pt idx="17">
                  <c:v>28.990471528797521</c:v>
                </c:pt>
                <c:pt idx="18">
                  <c:v>29.31265334735366</c:v>
                </c:pt>
                <c:pt idx="19">
                  <c:v>29.095190053707601</c:v>
                </c:pt>
                <c:pt idx="20">
                  <c:v>28.935686166803997</c:v>
                </c:pt>
                <c:pt idx="21">
                  <c:v>28.927816075360013</c:v>
                </c:pt>
                <c:pt idx="22">
                  <c:v>29.136411673847654</c:v>
                </c:pt>
                <c:pt idx="23">
                  <c:v>29.623789897440808</c:v>
                </c:pt>
                <c:pt idx="24">
                  <c:v>28.948215237080451</c:v>
                </c:pt>
                <c:pt idx="25">
                  <c:v>28.85294836093605</c:v>
                </c:pt>
                <c:pt idx="26">
                  <c:v>28.843380848084454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6-4C45-8F93-F356B1777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662192"/>
        <c:axId val="318618192"/>
      </c:scatterChart>
      <c:valAx>
        <c:axId val="675662192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18192"/>
        <c:crosses val="autoZero"/>
        <c:crossBetween val="midCat"/>
      </c:valAx>
      <c:valAx>
        <c:axId val="3186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6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Hoja1!$U$1</c:f>
              <c:strCache>
                <c:ptCount val="1"/>
                <c:pt idx="0">
                  <c:v>PAQ*2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Hoja1!$U$2:$U$28</c:f>
              <c:numCache>
                <c:formatCode>General</c:formatCode>
                <c:ptCount val="27"/>
                <c:pt idx="0">
                  <c:v>0.47569926601864715</c:v>
                </c:pt>
                <c:pt idx="1">
                  <c:v>0.69891503153339174</c:v>
                </c:pt>
                <c:pt idx="3">
                  <c:v>0.74775201135825842</c:v>
                </c:pt>
                <c:pt idx="5">
                  <c:v>0.75319380266376734</c:v>
                </c:pt>
                <c:pt idx="6">
                  <c:v>0.21537066424846968</c:v>
                </c:pt>
                <c:pt idx="7">
                  <c:v>0.69064084831719685</c:v>
                </c:pt>
                <c:pt idx="8">
                  <c:v>0.71485657199942909</c:v>
                </c:pt>
                <c:pt idx="9">
                  <c:v>0.38634808039325497</c:v>
                </c:pt>
                <c:pt idx="10">
                  <c:v>0.42801556420233461</c:v>
                </c:pt>
                <c:pt idx="11">
                  <c:v>0.39446125203630444</c:v>
                </c:pt>
                <c:pt idx="12">
                  <c:v>0.54835314791806244</c:v>
                </c:pt>
                <c:pt idx="13">
                  <c:v>0.39979812097212514</c:v>
                </c:pt>
                <c:pt idx="14">
                  <c:v>0.32830188679245281</c:v>
                </c:pt>
                <c:pt idx="15">
                  <c:v>0.27337138358590829</c:v>
                </c:pt>
                <c:pt idx="17">
                  <c:v>0.2407423696015481</c:v>
                </c:pt>
                <c:pt idx="18">
                  <c:v>0.19429024583663757</c:v>
                </c:pt>
                <c:pt idx="19">
                  <c:v>0.2882342564826248</c:v>
                </c:pt>
                <c:pt idx="20">
                  <c:v>0.25989437308469709</c:v>
                </c:pt>
                <c:pt idx="21">
                  <c:v>0.33694636516538967</c:v>
                </c:pt>
                <c:pt idx="22">
                  <c:v>0.36958798882681571</c:v>
                </c:pt>
                <c:pt idx="23">
                  <c:v>0.49906599580831845</c:v>
                </c:pt>
                <c:pt idx="24">
                  <c:v>0.47358675525541877</c:v>
                </c:pt>
                <c:pt idx="25">
                  <c:v>0.47952015562520262</c:v>
                </c:pt>
                <c:pt idx="26">
                  <c:v>0.41206571505521139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17-46CD-A38B-023DFA06C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483184"/>
        <c:axId val="285484848"/>
      </c:scatterChart>
      <c:valAx>
        <c:axId val="285483184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84848"/>
        <c:crosses val="autoZero"/>
        <c:crossBetween val="midCat"/>
      </c:valAx>
      <c:valAx>
        <c:axId val="28548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8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CPI</a:t>
            </a:r>
            <a:r>
              <a:rPr lang="en-GB" baseline="0"/>
              <a:t> &amp; PAQ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Hoja1!$R$1</c:f>
              <c:strCache>
                <c:ptCount val="1"/>
                <c:pt idx="0">
                  <c:v>CPI*1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D-4547-9215-6B178FF4A999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9-4455-B20F-A3A034928F0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59-4455-B20F-A3A034928F0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59-4455-B20F-A3A034928F06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59-4455-B20F-A3A034928F06}"/>
              </c:ext>
            </c:extLst>
          </c:dPt>
          <c:cat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cat>
          <c:val>
            <c:numRef>
              <c:f>Hoja1!$R$2:$R$28</c:f>
              <c:numCache>
                <c:formatCode>General</c:formatCode>
                <c:ptCount val="27"/>
                <c:pt idx="0">
                  <c:v>3.0083277330687528</c:v>
                </c:pt>
                <c:pt idx="1">
                  <c:v>2.5042237708469921</c:v>
                </c:pt>
                <c:pt idx="3">
                  <c:v>4.088226047091239</c:v>
                </c:pt>
                <c:pt idx="5">
                  <c:v>2.5940600738987838</c:v>
                </c:pt>
                <c:pt idx="6">
                  <c:v>1.3802268333480938</c:v>
                </c:pt>
                <c:pt idx="7">
                  <c:v>3.6651404551679927</c:v>
                </c:pt>
                <c:pt idx="8">
                  <c:v>2.5105188235303073</c:v>
                </c:pt>
                <c:pt idx="9">
                  <c:v>5.1512020402455754</c:v>
                </c:pt>
                <c:pt idx="10">
                  <c:v>6.6021521827825378</c:v>
                </c:pt>
                <c:pt idx="11">
                  <c:v>7.5083114345904303</c:v>
                </c:pt>
                <c:pt idx="12">
                  <c:v>4.1243339998270594</c:v>
                </c:pt>
                <c:pt idx="13">
                  <c:v>9.1231937466613466</c:v>
                </c:pt>
                <c:pt idx="14">
                  <c:v>7.0792682926829276</c:v>
                </c:pt>
                <c:pt idx="15">
                  <c:v>4.6147300248029701</c:v>
                </c:pt>
                <c:pt idx="17">
                  <c:v>7.0807704874360526</c:v>
                </c:pt>
                <c:pt idx="18">
                  <c:v>3.7402847371351307</c:v>
                </c:pt>
                <c:pt idx="19">
                  <c:v>7.1046634271948044</c:v>
                </c:pt>
                <c:pt idx="20">
                  <c:v>7.6017901797083676</c:v>
                </c:pt>
                <c:pt idx="21">
                  <c:v>8.1238349518963382</c:v>
                </c:pt>
                <c:pt idx="22">
                  <c:v>6.9406997624388946</c:v>
                </c:pt>
                <c:pt idx="23">
                  <c:v>4.1822397998793344</c:v>
                </c:pt>
                <c:pt idx="24">
                  <c:v>7.0746838279354325</c:v>
                </c:pt>
                <c:pt idx="25">
                  <c:v>8.0694822608080017</c:v>
                </c:pt>
                <c:pt idx="26">
                  <c:v>5.2179055842248445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3-46C1-BE94-8CB0EC41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99024"/>
        <c:axId val="189698608"/>
      </c:barChart>
      <c:lineChart>
        <c:grouping val="stacked"/>
        <c:varyColors val="0"/>
        <c:ser>
          <c:idx val="1"/>
          <c:order val="1"/>
          <c:tx>
            <c:strRef>
              <c:f>Hoja1!$U$1</c:f>
              <c:strCache>
                <c:ptCount val="1"/>
                <c:pt idx="0">
                  <c:v>PAQ*2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cat>
          <c:val>
            <c:numRef>
              <c:f>Hoja1!$U$2:$U$28</c:f>
              <c:numCache>
                <c:formatCode>General</c:formatCode>
                <c:ptCount val="27"/>
                <c:pt idx="0">
                  <c:v>0.47569926601864715</c:v>
                </c:pt>
                <c:pt idx="1">
                  <c:v>0.69891503153339174</c:v>
                </c:pt>
                <c:pt idx="3">
                  <c:v>0.74775201135825842</c:v>
                </c:pt>
                <c:pt idx="5">
                  <c:v>0.75319380266376734</c:v>
                </c:pt>
                <c:pt idx="6">
                  <c:v>0.21537066424846968</c:v>
                </c:pt>
                <c:pt idx="7">
                  <c:v>0.69064084831719685</c:v>
                </c:pt>
                <c:pt idx="8">
                  <c:v>0.71485657199942909</c:v>
                </c:pt>
                <c:pt idx="9">
                  <c:v>0.38634808039325497</c:v>
                </c:pt>
                <c:pt idx="10">
                  <c:v>0.42801556420233461</c:v>
                </c:pt>
                <c:pt idx="11">
                  <c:v>0.39446125203630444</c:v>
                </c:pt>
                <c:pt idx="12">
                  <c:v>0.54835314791806244</c:v>
                </c:pt>
                <c:pt idx="13">
                  <c:v>0.39979812097212514</c:v>
                </c:pt>
                <c:pt idx="14">
                  <c:v>0.32830188679245281</c:v>
                </c:pt>
                <c:pt idx="15">
                  <c:v>0.27337138358590829</c:v>
                </c:pt>
                <c:pt idx="17">
                  <c:v>0.2407423696015481</c:v>
                </c:pt>
                <c:pt idx="18">
                  <c:v>0.19429024583663757</c:v>
                </c:pt>
                <c:pt idx="19">
                  <c:v>0.2882342564826248</c:v>
                </c:pt>
                <c:pt idx="20">
                  <c:v>0.25989437308469709</c:v>
                </c:pt>
                <c:pt idx="21">
                  <c:v>0.33694636516538967</c:v>
                </c:pt>
                <c:pt idx="22">
                  <c:v>0.36958798882681571</c:v>
                </c:pt>
                <c:pt idx="23">
                  <c:v>0.49906599580831845</c:v>
                </c:pt>
                <c:pt idx="24">
                  <c:v>0.47358675525541877</c:v>
                </c:pt>
                <c:pt idx="25">
                  <c:v>0.47952015562520262</c:v>
                </c:pt>
                <c:pt idx="26">
                  <c:v>0.41206571505521139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3-46C1-BE94-8CB0EC41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337904"/>
        <c:axId val="445349136"/>
      </c:lineChart>
      <c:catAx>
        <c:axId val="18969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8608"/>
        <c:crosses val="autoZero"/>
        <c:auto val="1"/>
        <c:lblAlgn val="ctr"/>
        <c:lblOffset val="100"/>
        <c:noMultiLvlLbl val="0"/>
      </c:catAx>
      <c:valAx>
        <c:axId val="1896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9024"/>
        <c:crosses val="autoZero"/>
        <c:crossBetween val="between"/>
      </c:valAx>
      <c:valAx>
        <c:axId val="445349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37904"/>
        <c:crosses val="max"/>
        <c:crossBetween val="between"/>
      </c:valAx>
      <c:catAx>
        <c:axId val="445337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5349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ACL</a:t>
            </a:r>
            <a:r>
              <a:rPr lang="en-GB" baseline="0"/>
              <a:t> &amp; c31/c29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Hoja1!$X$1</c:f>
              <c:strCache>
                <c:ptCount val="1"/>
                <c:pt idx="0">
                  <c:v>c31/c29</c:v>
                </c:pt>
              </c:strCache>
            </c:strRef>
          </c:tx>
          <c:spPr>
            <a:solidFill>
              <a:schemeClr val="accent2"/>
            </a:solidFill>
            <a:ln w="19050">
              <a:noFill/>
            </a:ln>
            <a:effectLst/>
          </c:spPr>
          <c:invertIfNegative val="0"/>
          <c:cat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cat>
          <c:val>
            <c:numRef>
              <c:f>Hoja1!$X$2:$X$28</c:f>
              <c:numCache>
                <c:formatCode>General</c:formatCode>
                <c:ptCount val="27"/>
                <c:pt idx="0">
                  <c:v>1.0590622182146077</c:v>
                </c:pt>
                <c:pt idx="1">
                  <c:v>1.0498154981549817</c:v>
                </c:pt>
                <c:pt idx="3">
                  <c:v>1.260416666666667</c:v>
                </c:pt>
                <c:pt idx="5">
                  <c:v>1</c:v>
                </c:pt>
                <c:pt idx="6">
                  <c:v>0.61947410724537821</c:v>
                </c:pt>
                <c:pt idx="7">
                  <c:v>0.91008991008991003</c:v>
                </c:pt>
                <c:pt idx="8">
                  <c:v>1.120954003407155</c:v>
                </c:pt>
                <c:pt idx="9">
                  <c:v>1.152533039647577</c:v>
                </c:pt>
                <c:pt idx="10">
                  <c:v>0.78353110391945335</c:v>
                </c:pt>
                <c:pt idx="11">
                  <c:v>1.1383776414451261</c:v>
                </c:pt>
                <c:pt idx="12">
                  <c:v>0.43778859353550498</c:v>
                </c:pt>
                <c:pt idx="13">
                  <c:v>0.60529938059187893</c:v>
                </c:pt>
                <c:pt idx="14">
                  <c:v>0.75874769797421737</c:v>
                </c:pt>
                <c:pt idx="15">
                  <c:v>0.64428044280442809</c:v>
                </c:pt>
                <c:pt idx="17">
                  <c:v>0.60240213523131658</c:v>
                </c:pt>
                <c:pt idx="18">
                  <c:v>0.75148514851485149</c:v>
                </c:pt>
                <c:pt idx="19">
                  <c:v>0.60898394857073546</c:v>
                </c:pt>
                <c:pt idx="20">
                  <c:v>0.51533479960899309</c:v>
                </c:pt>
                <c:pt idx="21">
                  <c:v>0.50156353643513685</c:v>
                </c:pt>
                <c:pt idx="22">
                  <c:v>0.54269293924466344</c:v>
                </c:pt>
                <c:pt idx="23">
                  <c:v>0.77983193277310903</c:v>
                </c:pt>
                <c:pt idx="24">
                  <c:v>0.50188984881209497</c:v>
                </c:pt>
                <c:pt idx="25">
                  <c:v>0.4598629466470876</c:v>
                </c:pt>
                <c:pt idx="26">
                  <c:v>0.45131156822041896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E-406B-A481-11C0B92DD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3820304"/>
        <c:axId val="187045376"/>
      </c:barChart>
      <c:scatterChart>
        <c:scatterStyle val="lineMarker"/>
        <c:varyColors val="0"/>
        <c:ser>
          <c:idx val="0"/>
          <c:order val="0"/>
          <c:tx>
            <c:strRef>
              <c:f>Hoja1!$S$1</c:f>
              <c:strCache>
                <c:ptCount val="1"/>
                <c:pt idx="0">
                  <c:v>ACL_c27-c31*2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Hoja1!$F$2:$F$28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Hoja1!$S$2:$S$28</c:f>
              <c:numCache>
                <c:formatCode>General</c:formatCode>
                <c:ptCount val="27"/>
                <c:pt idx="0">
                  <c:v>29.844183419923198</c:v>
                </c:pt>
                <c:pt idx="1">
                  <c:v>29.879500148765249</c:v>
                </c:pt>
                <c:pt idx="3">
                  <c:v>30.091277890466529</c:v>
                </c:pt>
                <c:pt idx="5">
                  <c:v>29.775343861436582</c:v>
                </c:pt>
                <c:pt idx="6">
                  <c:v>29.16013659237958</c:v>
                </c:pt>
                <c:pt idx="7">
                  <c:v>29.667530784186653</c:v>
                </c:pt>
                <c:pt idx="8">
                  <c:v>29.807387862796833</c:v>
                </c:pt>
                <c:pt idx="9">
                  <c:v>30.072282118009458</c:v>
                </c:pt>
                <c:pt idx="10">
                  <c:v>29.545454545454543</c:v>
                </c:pt>
                <c:pt idx="11">
                  <c:v>30.05408102175214</c:v>
                </c:pt>
                <c:pt idx="12">
                  <c:v>28.784052670080467</c:v>
                </c:pt>
                <c:pt idx="13">
                  <c:v>29.207180840100577</c:v>
                </c:pt>
                <c:pt idx="14">
                  <c:v>29.271297509829623</c:v>
                </c:pt>
                <c:pt idx="15">
                  <c:v>28.838657586182684</c:v>
                </c:pt>
                <c:pt idx="17">
                  <c:v>28.990471528797521</c:v>
                </c:pt>
                <c:pt idx="18">
                  <c:v>29.31265334735366</c:v>
                </c:pt>
                <c:pt idx="19">
                  <c:v>29.095190053707601</c:v>
                </c:pt>
                <c:pt idx="20">
                  <c:v>28.935686166803997</c:v>
                </c:pt>
                <c:pt idx="21">
                  <c:v>28.927816075360013</c:v>
                </c:pt>
                <c:pt idx="22">
                  <c:v>29.136411673847654</c:v>
                </c:pt>
                <c:pt idx="23">
                  <c:v>29.623789897440808</c:v>
                </c:pt>
                <c:pt idx="24">
                  <c:v>28.948215237080451</c:v>
                </c:pt>
                <c:pt idx="25">
                  <c:v>28.85294836093605</c:v>
                </c:pt>
                <c:pt idx="26">
                  <c:v>28.843380848084454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E-406B-A481-11C0B92DD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630336"/>
        <c:axId val="2032629920"/>
      </c:scatterChart>
      <c:valAx>
        <c:axId val="2032630336"/>
        <c:scaling>
          <c:orientation val="maxMin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29920"/>
        <c:crosses val="autoZero"/>
        <c:crossBetween val="midCat"/>
      </c:valAx>
      <c:valAx>
        <c:axId val="20326299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630336"/>
        <c:crosses val="autoZero"/>
        <c:crossBetween val="midCat"/>
      </c:valAx>
      <c:valAx>
        <c:axId val="187045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20304"/>
        <c:crosses val="max"/>
        <c:crossBetween val="between"/>
      </c:valAx>
      <c:catAx>
        <c:axId val="1983820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045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Hoja1!$T$1</c:f>
              <c:strCache>
                <c:ptCount val="1"/>
                <c:pt idx="0">
                  <c:v>ACL_19-33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Hoja1!$F$2:$F$63</c:f>
              <c:numCache>
                <c:formatCode>General</c:formatCode>
                <c:ptCount val="62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Hoja1!$T$2:$T$63</c:f>
              <c:numCache>
                <c:formatCode>General</c:formatCode>
                <c:ptCount val="62"/>
                <c:pt idx="0">
                  <c:v>26.596427453718192</c:v>
                </c:pt>
                <c:pt idx="1">
                  <c:v>24.133952163252168</c:v>
                </c:pt>
                <c:pt idx="3">
                  <c:v>23.872744207707537</c:v>
                </c:pt>
                <c:pt idx="5">
                  <c:v>24.213057495969903</c:v>
                </c:pt>
                <c:pt idx="6">
                  <c:v>27.744152425635221</c:v>
                </c:pt>
                <c:pt idx="7">
                  <c:v>24.832326283987914</c:v>
                </c:pt>
                <c:pt idx="8">
                  <c:v>24.700204439252335</c:v>
                </c:pt>
                <c:pt idx="9">
                  <c:v>26.886712148713777</c:v>
                </c:pt>
                <c:pt idx="10">
                  <c:v>26.244758177243501</c:v>
                </c:pt>
                <c:pt idx="11">
                  <c:v>25.962673521850899</c:v>
                </c:pt>
                <c:pt idx="12">
                  <c:v>25.997409993260437</c:v>
                </c:pt>
                <c:pt idx="13">
                  <c:v>26.7698231679502</c:v>
                </c:pt>
                <c:pt idx="14">
                  <c:v>27.119068934646375</c:v>
                </c:pt>
                <c:pt idx="15">
                  <c:v>27.443282294587018</c:v>
                </c:pt>
                <c:pt idx="17">
                  <c:v>27.596873735329833</c:v>
                </c:pt>
                <c:pt idx="18">
                  <c:v>27.249875311720693</c:v>
                </c:pt>
                <c:pt idx="19">
                  <c:v>27.50581960889545</c:v>
                </c:pt>
                <c:pt idx="20">
                  <c:v>27.584826794395706</c:v>
                </c:pt>
                <c:pt idx="21">
                  <c:v>27.18373661245537</c:v>
                </c:pt>
                <c:pt idx="22">
                  <c:v>26.878570244737858</c:v>
                </c:pt>
                <c:pt idx="23">
                  <c:v>26.169191982639397</c:v>
                </c:pt>
                <c:pt idx="24">
                  <c:v>26.411095967822362</c:v>
                </c:pt>
                <c:pt idx="25">
                  <c:v>26.818169835568593</c:v>
                </c:pt>
                <c:pt idx="26">
                  <c:v>26.873847840167407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B1-4B0E-A99D-B0B767EF9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966320"/>
        <c:axId val="814964656"/>
      </c:scatterChart>
      <c:valAx>
        <c:axId val="814966320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4656"/>
        <c:crosses val="autoZero"/>
        <c:crossBetween val="midCat"/>
      </c:valAx>
      <c:valAx>
        <c:axId val="8149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6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Hoja1!$S$1</c:f>
              <c:strCache>
                <c:ptCount val="1"/>
                <c:pt idx="0">
                  <c:v>ACL_c27-c31*2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Hoja1!$F$2:$F$63</c:f>
              <c:numCache>
                <c:formatCode>General</c:formatCode>
                <c:ptCount val="62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Hoja1!$S$2:$S$63</c:f>
              <c:numCache>
                <c:formatCode>General</c:formatCode>
                <c:ptCount val="62"/>
                <c:pt idx="0">
                  <c:v>29.844183419923198</c:v>
                </c:pt>
                <c:pt idx="1">
                  <c:v>29.879500148765249</c:v>
                </c:pt>
                <c:pt idx="3">
                  <c:v>30.091277890466529</c:v>
                </c:pt>
                <c:pt idx="5">
                  <c:v>29.775343861436582</c:v>
                </c:pt>
                <c:pt idx="6">
                  <c:v>29.16013659237958</c:v>
                </c:pt>
                <c:pt idx="7">
                  <c:v>29.667530784186653</c:v>
                </c:pt>
                <c:pt idx="8">
                  <c:v>29.807387862796833</c:v>
                </c:pt>
                <c:pt idx="9">
                  <c:v>30.072282118009458</c:v>
                </c:pt>
                <c:pt idx="10">
                  <c:v>29.545454545454543</c:v>
                </c:pt>
                <c:pt idx="11">
                  <c:v>30.05408102175214</c:v>
                </c:pt>
                <c:pt idx="12">
                  <c:v>28.784052670080467</c:v>
                </c:pt>
                <c:pt idx="13">
                  <c:v>29.207180840100577</c:v>
                </c:pt>
                <c:pt idx="14">
                  <c:v>29.271297509829623</c:v>
                </c:pt>
                <c:pt idx="15">
                  <c:v>28.838657586182684</c:v>
                </c:pt>
                <c:pt idx="17">
                  <c:v>28.990471528797521</c:v>
                </c:pt>
                <c:pt idx="18">
                  <c:v>29.31265334735366</c:v>
                </c:pt>
                <c:pt idx="19">
                  <c:v>29.095190053707601</c:v>
                </c:pt>
                <c:pt idx="20">
                  <c:v>28.935686166803997</c:v>
                </c:pt>
                <c:pt idx="21">
                  <c:v>28.927816075360013</c:v>
                </c:pt>
                <c:pt idx="22">
                  <c:v>29.136411673847654</c:v>
                </c:pt>
                <c:pt idx="23">
                  <c:v>29.623789897440808</c:v>
                </c:pt>
                <c:pt idx="24">
                  <c:v>28.948215237080451</c:v>
                </c:pt>
                <c:pt idx="25">
                  <c:v>28.85294836093605</c:v>
                </c:pt>
                <c:pt idx="26">
                  <c:v>28.843380848084454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A-490E-A2BC-6B9E9362A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267856"/>
        <c:axId val="585268272"/>
      </c:scatterChart>
      <c:valAx>
        <c:axId val="585267856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68272"/>
        <c:crosses val="autoZero"/>
        <c:crossBetween val="midCat"/>
      </c:valAx>
      <c:valAx>
        <c:axId val="5852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6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Hoja1!$T$1</c:f>
              <c:strCache>
                <c:ptCount val="1"/>
                <c:pt idx="0">
                  <c:v>ACL_19-33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Hoja1!$G$2:$G$63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Hoja1!$T$2:$T$63</c:f>
              <c:numCache>
                <c:formatCode>General</c:formatCode>
                <c:ptCount val="62"/>
                <c:pt idx="0">
                  <c:v>26.596427453718192</c:v>
                </c:pt>
                <c:pt idx="1">
                  <c:v>24.133952163252168</c:v>
                </c:pt>
                <c:pt idx="3">
                  <c:v>23.872744207707537</c:v>
                </c:pt>
                <c:pt idx="5">
                  <c:v>24.213057495969903</c:v>
                </c:pt>
                <c:pt idx="6">
                  <c:v>27.744152425635221</c:v>
                </c:pt>
                <c:pt idx="7">
                  <c:v>24.832326283987914</c:v>
                </c:pt>
                <c:pt idx="8">
                  <c:v>24.700204439252335</c:v>
                </c:pt>
                <c:pt idx="9">
                  <c:v>26.886712148713777</c:v>
                </c:pt>
                <c:pt idx="10">
                  <c:v>26.244758177243501</c:v>
                </c:pt>
                <c:pt idx="11">
                  <c:v>25.962673521850899</c:v>
                </c:pt>
                <c:pt idx="12">
                  <c:v>25.997409993260437</c:v>
                </c:pt>
                <c:pt idx="13">
                  <c:v>26.7698231679502</c:v>
                </c:pt>
                <c:pt idx="14">
                  <c:v>27.119068934646375</c:v>
                </c:pt>
                <c:pt idx="15">
                  <c:v>27.443282294587018</c:v>
                </c:pt>
                <c:pt idx="17">
                  <c:v>27.596873735329833</c:v>
                </c:pt>
                <c:pt idx="18">
                  <c:v>27.249875311720693</c:v>
                </c:pt>
                <c:pt idx="19">
                  <c:v>27.50581960889545</c:v>
                </c:pt>
                <c:pt idx="20">
                  <c:v>27.584826794395706</c:v>
                </c:pt>
                <c:pt idx="21">
                  <c:v>27.18373661245537</c:v>
                </c:pt>
                <c:pt idx="22">
                  <c:v>26.878570244737858</c:v>
                </c:pt>
                <c:pt idx="23">
                  <c:v>26.169191982639397</c:v>
                </c:pt>
                <c:pt idx="24">
                  <c:v>26.411095967822362</c:v>
                </c:pt>
                <c:pt idx="25">
                  <c:v>26.818169835568593</c:v>
                </c:pt>
                <c:pt idx="26">
                  <c:v>26.873847840167407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89-4219-8D72-45703B5EB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923007"/>
        <c:axId val="1160918431"/>
      </c:scatterChart>
      <c:valAx>
        <c:axId val="11609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18431"/>
        <c:crosses val="autoZero"/>
        <c:crossBetween val="midCat"/>
      </c:valAx>
      <c:valAx>
        <c:axId val="116091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2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Hoja1!$G$2:$G$63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75E-4018-905A-B0945946D3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Hoja1!$G$2:$G$63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75E-4018-905A-B0945946D37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Hoja1!$G$2:$G$63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75E-4018-905A-B0945946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691199"/>
        <c:axId val="1284701183"/>
      </c:scatterChart>
      <c:valAx>
        <c:axId val="1284691199"/>
        <c:scaling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01183"/>
        <c:crosses val="autoZero"/>
        <c:crossBetween val="midCat"/>
      </c:valAx>
      <c:valAx>
        <c:axId val="1284701183"/>
        <c:scaling>
          <c:orientation val="minMax"/>
          <c:max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69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99C-4A4D-AFA0-7E826EEAE38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'R'!$B$2:$B$63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99C-4A4D-AFA0-7E826EEAE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010128"/>
        <c:axId val="296004304"/>
      </c:scatterChart>
      <c:valAx>
        <c:axId val="29601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04304"/>
        <c:crosses val="autoZero"/>
        <c:crossBetween val="midCat"/>
      </c:valAx>
      <c:valAx>
        <c:axId val="2960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10-4624-9A0A-E2FDAABE532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'R'!$B$2:$B$63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810-4624-9A0A-E2FDAABE532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'R'!$B$2:$B$63</c:f>
              <c:numCache>
                <c:formatCode>General</c:formatCode>
                <c:ptCount val="62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810-4624-9A0A-E2FDAABE5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960208"/>
        <c:axId val="295960624"/>
      </c:scatterChart>
      <c:valAx>
        <c:axId val="29596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960624"/>
        <c:crosses val="autoZero"/>
        <c:crossBetween val="midCat"/>
      </c:valAx>
      <c:valAx>
        <c:axId val="295960624"/>
        <c:scaling>
          <c:orientation val="minMax"/>
          <c:max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96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'R'!$H$1</c:f>
              <c:strCache>
                <c:ptCount val="1"/>
                <c:pt idx="0">
                  <c:v>c31/c27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'R'!$B$2:$B$28</c:f>
              <c:numCache>
                <c:formatCode>General</c:formatCode>
                <c:ptCount val="27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'R'!$H$2:$H$28</c:f>
              <c:numCache>
                <c:formatCode>General</c:formatCode>
                <c:ptCount val="27"/>
                <c:pt idx="0">
                  <c:v>1.4355265838256264</c:v>
                </c:pt>
                <c:pt idx="1">
                  <c:v>1.7616099071207432</c:v>
                </c:pt>
                <c:pt idx="3">
                  <c:v>2.1999999999999997</c:v>
                </c:pt>
                <c:pt idx="5">
                  <c:v>1.4141876430205949</c:v>
                </c:pt>
                <c:pt idx="6">
                  <c:v>0.51584835301429455</c:v>
                </c:pt>
                <c:pt idx="7">
                  <c:v>1.2261103633916555</c:v>
                </c:pt>
                <c:pt idx="8">
                  <c:v>1.3199598796389165</c:v>
                </c:pt>
                <c:pt idx="9">
                  <c:v>1.784313725490196</c:v>
                </c:pt>
                <c:pt idx="10">
                  <c:v>1.0201310861423221</c:v>
                </c:pt>
                <c:pt idx="11">
                  <c:v>1.7728237791932058</c:v>
                </c:pt>
                <c:pt idx="12">
                  <c:v>0.44198059720297345</c:v>
                </c:pt>
                <c:pt idx="13">
                  <c:v>0.67558571245679189</c:v>
                </c:pt>
                <c:pt idx="14">
                  <c:v>0.91759465478841873</c:v>
                </c:pt>
                <c:pt idx="15">
                  <c:v>0.68056908984603393</c:v>
                </c:pt>
                <c:pt idx="17">
                  <c:v>0.62851573377889147</c:v>
                </c:pt>
                <c:pt idx="18">
                  <c:v>0.91777509068923824</c:v>
                </c:pt>
                <c:pt idx="19">
                  <c:v>0.66960078243087051</c:v>
                </c:pt>
                <c:pt idx="20">
                  <c:v>0.52807863269266897</c:v>
                </c:pt>
                <c:pt idx="21">
                  <c:v>0.52624776297474651</c:v>
                </c:pt>
                <c:pt idx="22">
                  <c:v>0.69250916710319543</c:v>
                </c:pt>
                <c:pt idx="23">
                  <c:v>1.0707692307692307</c:v>
                </c:pt>
                <c:pt idx="24">
                  <c:v>0.56945933527339543</c:v>
                </c:pt>
                <c:pt idx="25">
                  <c:v>0.50233925945729185</c:v>
                </c:pt>
                <c:pt idx="26">
                  <c:v>0.44684230194319879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4-4347-BAC6-DDA94886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539903"/>
        <c:axId val="693559871"/>
      </c:scatterChart>
      <c:valAx>
        <c:axId val="6935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559871"/>
        <c:crosses val="autoZero"/>
        <c:crossBetween val="midCat"/>
      </c:valAx>
      <c:valAx>
        <c:axId val="6935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53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'R'!$AH$1</c:f>
              <c:strCache>
                <c:ptCount val="1"/>
                <c:pt idx="0">
                  <c:v>D_29-31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'R'!$A$2:$A$28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216</c:v>
                </c:pt>
                <c:pt idx="6">
                  <c:v>215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'R'!$AH$2:$AH$28</c:f>
              <c:numCache>
                <c:formatCode>General</c:formatCode>
                <c:ptCount val="27"/>
                <c:pt idx="0">
                  <c:v>1.2171411472294835</c:v>
                </c:pt>
                <c:pt idx="3">
                  <c:v>0.4340605282924237</c:v>
                </c:pt>
                <c:pt idx="6">
                  <c:v>1.3495621282253456</c:v>
                </c:pt>
                <c:pt idx="7">
                  <c:v>1.0862400375013515</c:v>
                </c:pt>
                <c:pt idx="8">
                  <c:v>0.47938361974630972</c:v>
                </c:pt>
                <c:pt idx="9">
                  <c:v>0.73572888151507421</c:v>
                </c:pt>
                <c:pt idx="10">
                  <c:v>0.9002480106798938</c:v>
                </c:pt>
                <c:pt idx="11">
                  <c:v>1.848685857403165</c:v>
                </c:pt>
                <c:pt idx="13">
                  <c:v>1.56769125608891</c:v>
                </c:pt>
                <c:pt idx="14">
                  <c:v>2.8642386091100036</c:v>
                </c:pt>
                <c:pt idx="15">
                  <c:v>1.4335157954645794</c:v>
                </c:pt>
                <c:pt idx="17">
                  <c:v>1.6575678998842491</c:v>
                </c:pt>
                <c:pt idx="18">
                  <c:v>2.2681416079159966</c:v>
                </c:pt>
                <c:pt idx="19">
                  <c:v>1.5671213531556205</c:v>
                </c:pt>
                <c:pt idx="20">
                  <c:v>1.8645801000964912</c:v>
                </c:pt>
                <c:pt idx="21">
                  <c:v>1.7366165594885352</c:v>
                </c:pt>
                <c:pt idx="22">
                  <c:v>1.1372094891821671</c:v>
                </c:pt>
                <c:pt idx="24">
                  <c:v>1.0729897265135957</c:v>
                </c:pt>
                <c:pt idx="26">
                  <c:v>1.2804217085817804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1-4809-A795-D9E37F847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97007"/>
        <c:axId val="838998255"/>
      </c:scatterChart>
      <c:valAx>
        <c:axId val="838997007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98255"/>
        <c:crosses val="autoZero"/>
        <c:crossBetween val="midCat"/>
      </c:valAx>
      <c:valAx>
        <c:axId val="83899825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9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'R'!$BZ$1</c:f>
              <c:strCache>
                <c:ptCount val="1"/>
                <c:pt idx="0">
                  <c:v>dC29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'R'!$B$2:$B$28</c:f>
              <c:numCache>
                <c:formatCode>General</c:formatCode>
                <c:ptCount val="27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'R'!$BZ$2:$BZ$28</c:f>
              <c:numCache>
                <c:formatCode>General</c:formatCode>
                <c:ptCount val="27"/>
                <c:pt idx="0" formatCode="0.00">
                  <c:v>-33.21556357910471</c:v>
                </c:pt>
                <c:pt idx="3" formatCode="0.00">
                  <c:v>-33.971292892031272</c:v>
                </c:pt>
                <c:pt idx="5" formatCode="0.00">
                  <c:v>-32.911291515861294</c:v>
                </c:pt>
                <c:pt idx="6" formatCode="0.00">
                  <c:v>-32.368908628927564</c:v>
                </c:pt>
                <c:pt idx="7" formatCode="0.00">
                  <c:v>-33.497223311937276</c:v>
                </c:pt>
                <c:pt idx="8" formatCode="0.00">
                  <c:v>-33.5220613985379</c:v>
                </c:pt>
                <c:pt idx="9" formatCode="0.00">
                  <c:v>-33.581778951685813</c:v>
                </c:pt>
                <c:pt idx="10" formatCode="0.00">
                  <c:v>-32.867919237665774</c:v>
                </c:pt>
                <c:pt idx="11" formatCode="0.00">
                  <c:v>-33.061947546417926</c:v>
                </c:pt>
                <c:pt idx="13" formatCode="0.00">
                  <c:v>-33.154116283236995</c:v>
                </c:pt>
                <c:pt idx="14" formatCode="0.00">
                  <c:v>-36.103669581648504</c:v>
                </c:pt>
                <c:pt idx="15" formatCode="0.00">
                  <c:v>-32.590461824164166</c:v>
                </c:pt>
                <c:pt idx="17" formatCode="0.00">
                  <c:v>-32.894704613757881</c:v>
                </c:pt>
                <c:pt idx="18" formatCode="0.00">
                  <c:v>-32.607939767123199</c:v>
                </c:pt>
                <c:pt idx="19" formatCode="0.00">
                  <c:v>-33.090553223822674</c:v>
                </c:pt>
                <c:pt idx="20" formatCode="0.00">
                  <c:v>-32.831529593890778</c:v>
                </c:pt>
                <c:pt idx="21" formatCode="0.00">
                  <c:v>-32.04796200057109</c:v>
                </c:pt>
                <c:pt idx="22" formatCode="0.00">
                  <c:v>-31.775916223565133</c:v>
                </c:pt>
                <c:pt idx="24" formatCode="0.00">
                  <c:v>-31.686540650681739</c:v>
                </c:pt>
                <c:pt idx="25" formatCode="0.00">
                  <c:v>-31.719064572618009</c:v>
                </c:pt>
                <c:pt idx="26" formatCode="0.00">
                  <c:v>-32.680866533268158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1-48CC-9446-E552C1A5F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76944"/>
        <c:axId val="1292382768"/>
      </c:scatterChart>
      <c:valAx>
        <c:axId val="129237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82768"/>
        <c:crosses val="autoZero"/>
        <c:crossBetween val="midCat"/>
      </c:valAx>
      <c:valAx>
        <c:axId val="12923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7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'R'!$BZ$1</c:f>
              <c:strCache>
                <c:ptCount val="1"/>
                <c:pt idx="0">
                  <c:v>dC29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'R'!$AZ$2:$AZ$28</c:f>
              <c:numCache>
                <c:formatCode>General</c:formatCode>
                <c:ptCount val="27"/>
                <c:pt idx="0" formatCode="0.00">
                  <c:v>-204.6104137297562</c:v>
                </c:pt>
                <c:pt idx="6" formatCode="0.00">
                  <c:v>-182.54752627732148</c:v>
                </c:pt>
                <c:pt idx="9" formatCode="0.00">
                  <c:v>-210.54101756465496</c:v>
                </c:pt>
                <c:pt idx="13" formatCode="0.00">
                  <c:v>-204.85493582552016</c:v>
                </c:pt>
                <c:pt idx="15" formatCode="0.00">
                  <c:v>-204.85172952469327</c:v>
                </c:pt>
                <c:pt idx="17" formatCode="0.00">
                  <c:v>-209.21116752752249</c:v>
                </c:pt>
                <c:pt idx="19" formatCode="0.00">
                  <c:v>-208.96222875972273</c:v>
                </c:pt>
                <c:pt idx="20" formatCode="0.00">
                  <c:v>-206.79804837472554</c:v>
                </c:pt>
                <c:pt idx="21" formatCode="0.00">
                  <c:v>-134.34733141501724</c:v>
                </c:pt>
                <c:pt idx="22" formatCode="0.00">
                  <c:v>-102.94752815893116</c:v>
                </c:pt>
                <c:pt idx="24" formatCode="0.00">
                  <c:v>-161.95476999406958</c:v>
                </c:pt>
                <c:pt idx="26" formatCode="0.00">
                  <c:v>-151.96717053797167</c:v>
                </c:pt>
              </c:numCache>
            </c:numRef>
          </c:xVal>
          <c:yVal>
            <c:numRef>
              <c:f>'R'!$BZ$2:$BZ$28</c:f>
              <c:numCache>
                <c:formatCode>General</c:formatCode>
                <c:ptCount val="27"/>
                <c:pt idx="0" formatCode="0.00">
                  <c:v>-33.21556357910471</c:v>
                </c:pt>
                <c:pt idx="3" formatCode="0.00">
                  <c:v>-33.971292892031272</c:v>
                </c:pt>
                <c:pt idx="5" formatCode="0.00">
                  <c:v>-32.911291515861294</c:v>
                </c:pt>
                <c:pt idx="6" formatCode="0.00">
                  <c:v>-32.368908628927564</c:v>
                </c:pt>
                <c:pt idx="7" formatCode="0.00">
                  <c:v>-33.497223311937276</c:v>
                </c:pt>
                <c:pt idx="8" formatCode="0.00">
                  <c:v>-33.5220613985379</c:v>
                </c:pt>
                <c:pt idx="9" formatCode="0.00">
                  <c:v>-33.581778951685813</c:v>
                </c:pt>
                <c:pt idx="10" formatCode="0.00">
                  <c:v>-32.867919237665774</c:v>
                </c:pt>
                <c:pt idx="11" formatCode="0.00">
                  <c:v>-33.061947546417926</c:v>
                </c:pt>
                <c:pt idx="13" formatCode="0.00">
                  <c:v>-33.154116283236995</c:v>
                </c:pt>
                <c:pt idx="14" formatCode="0.00">
                  <c:v>-36.103669581648504</c:v>
                </c:pt>
                <c:pt idx="15" formatCode="0.00">
                  <c:v>-32.590461824164166</c:v>
                </c:pt>
                <c:pt idx="17" formatCode="0.00">
                  <c:v>-32.894704613757881</c:v>
                </c:pt>
                <c:pt idx="18" formatCode="0.00">
                  <c:v>-32.607939767123199</c:v>
                </c:pt>
                <c:pt idx="19" formatCode="0.00">
                  <c:v>-33.090553223822674</c:v>
                </c:pt>
                <c:pt idx="20" formatCode="0.00">
                  <c:v>-32.831529593890778</c:v>
                </c:pt>
                <c:pt idx="21" formatCode="0.00">
                  <c:v>-32.04796200057109</c:v>
                </c:pt>
                <c:pt idx="22" formatCode="0.00">
                  <c:v>-31.775916223565133</c:v>
                </c:pt>
                <c:pt idx="24" formatCode="0.00">
                  <c:v>-31.686540650681739</c:v>
                </c:pt>
                <c:pt idx="25" formatCode="0.00">
                  <c:v>-31.719064572618009</c:v>
                </c:pt>
                <c:pt idx="26" formatCode="0.00">
                  <c:v>-32.680866533268158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1-43F6-B89A-745FA6134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075408"/>
        <c:axId val="1377077904"/>
      </c:scatterChart>
      <c:valAx>
        <c:axId val="137707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077904"/>
        <c:crosses val="autoZero"/>
        <c:crossBetween val="midCat"/>
      </c:valAx>
      <c:valAx>
        <c:axId val="13770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07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'R'!$BN$1</c:f>
              <c:strCache>
                <c:ptCount val="1"/>
                <c:pt idx="0">
                  <c:v>dC23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'R'!$AN$2:$AN$28</c:f>
              <c:numCache>
                <c:formatCode>General</c:formatCode>
                <c:ptCount val="27"/>
                <c:pt idx="0" formatCode="0.00">
                  <c:v>-187.37383081678553</c:v>
                </c:pt>
                <c:pt idx="3" formatCode="0.00">
                  <c:v>-109.72464145210459</c:v>
                </c:pt>
                <c:pt idx="6" formatCode="0.00">
                  <c:v>-175.41788986046129</c:v>
                </c:pt>
                <c:pt idx="8" formatCode="0.00">
                  <c:v>-120.32663533281143</c:v>
                </c:pt>
                <c:pt idx="9" formatCode="0.00">
                  <c:v>-189.36554594123666</c:v>
                </c:pt>
                <c:pt idx="13" formatCode="0.00">
                  <c:v>-194.69467873006636</c:v>
                </c:pt>
                <c:pt idx="15" formatCode="0.00">
                  <c:v>-185.94935440652543</c:v>
                </c:pt>
                <c:pt idx="17" formatCode="0.00">
                  <c:v>-198.12773655640797</c:v>
                </c:pt>
                <c:pt idx="19" formatCode="0.00">
                  <c:v>-193.43117271515001</c:v>
                </c:pt>
                <c:pt idx="20" formatCode="0.00">
                  <c:v>-159.52663667421371</c:v>
                </c:pt>
                <c:pt idx="21" formatCode="0.00">
                  <c:v>-103.78883607678235</c:v>
                </c:pt>
                <c:pt idx="22" formatCode="0.00">
                  <c:v>-100.68994896137316</c:v>
                </c:pt>
                <c:pt idx="24" formatCode="0.00">
                  <c:v>-115.66158117563532</c:v>
                </c:pt>
                <c:pt idx="25" formatCode="0.00">
                  <c:v>-120.16886103973138</c:v>
                </c:pt>
                <c:pt idx="26" formatCode="0.00">
                  <c:v>-150.83315997777655</c:v>
                </c:pt>
              </c:numCache>
            </c:numRef>
          </c:xVal>
          <c:yVal>
            <c:numRef>
              <c:f>'R'!$BN$2:$BN$28</c:f>
              <c:numCache>
                <c:formatCode>General</c:formatCode>
                <c:ptCount val="27"/>
                <c:pt idx="0" formatCode="0.00">
                  <c:v>-31.207487041152262</c:v>
                </c:pt>
                <c:pt idx="3" formatCode="0.00">
                  <c:v>-31.248658257509422</c:v>
                </c:pt>
                <c:pt idx="5" formatCode="0.00">
                  <c:v>-31.708986431473846</c:v>
                </c:pt>
                <c:pt idx="6" formatCode="0.00">
                  <c:v>-30.621514039592121</c:v>
                </c:pt>
                <c:pt idx="7" formatCode="0.00">
                  <c:v>-32.061995314824564</c:v>
                </c:pt>
                <c:pt idx="8" formatCode="0.00">
                  <c:v>-31.369312072870613</c:v>
                </c:pt>
                <c:pt idx="9" formatCode="0.00">
                  <c:v>-32.095987187135222</c:v>
                </c:pt>
                <c:pt idx="10" formatCode="0.00">
                  <c:v>-32.201468148512589</c:v>
                </c:pt>
                <c:pt idx="11" formatCode="0.00">
                  <c:v>-31.980162387418837</c:v>
                </c:pt>
                <c:pt idx="13" formatCode="0.00">
                  <c:v>-33.172372903746989</c:v>
                </c:pt>
                <c:pt idx="14" formatCode="0.00">
                  <c:v>-31.212168441662794</c:v>
                </c:pt>
                <c:pt idx="15" formatCode="0.00">
                  <c:v>-32.2909392597928</c:v>
                </c:pt>
                <c:pt idx="17" formatCode="0.00">
                  <c:v>-32.301043413217684</c:v>
                </c:pt>
                <c:pt idx="18" formatCode="0.00">
                  <c:v>-30.045007169994939</c:v>
                </c:pt>
                <c:pt idx="19" formatCode="0.00">
                  <c:v>-32.06181567757006</c:v>
                </c:pt>
                <c:pt idx="20" formatCode="0.00">
                  <c:v>-32.169826266501168</c:v>
                </c:pt>
                <c:pt idx="21" formatCode="0.00">
                  <c:v>-31.661747779247374</c:v>
                </c:pt>
                <c:pt idx="22" formatCode="0.00">
                  <c:v>-31.359470725595244</c:v>
                </c:pt>
                <c:pt idx="24" formatCode="0.00">
                  <c:v>-31.005624039199944</c:v>
                </c:pt>
                <c:pt idx="25" formatCode="0.00">
                  <c:v>-31.459060092603323</c:v>
                </c:pt>
                <c:pt idx="26" formatCode="0.00">
                  <c:v>-32.139607607272033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E-47F5-BF21-8AEF94C6D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069056"/>
        <c:axId val="1459065312"/>
      </c:scatterChart>
      <c:valAx>
        <c:axId val="14590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65312"/>
        <c:crosses val="autoZero"/>
        <c:crossBetween val="midCat"/>
      </c:valAx>
      <c:valAx>
        <c:axId val="14590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6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'R'!$AN$1</c:f>
              <c:strCache>
                <c:ptCount val="1"/>
                <c:pt idx="0">
                  <c:v>D23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'R'!$B$2:$B$28</c:f>
              <c:numCache>
                <c:formatCode>General</c:formatCode>
                <c:ptCount val="27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'R'!$AN$2:$AN$28</c:f>
              <c:numCache>
                <c:formatCode>General</c:formatCode>
                <c:ptCount val="27"/>
                <c:pt idx="0" formatCode="0.00">
                  <c:v>-187.37383081678553</c:v>
                </c:pt>
                <c:pt idx="3" formatCode="0.00">
                  <c:v>-109.72464145210459</c:v>
                </c:pt>
                <c:pt idx="6" formatCode="0.00">
                  <c:v>-175.41788986046129</c:v>
                </c:pt>
                <c:pt idx="8" formatCode="0.00">
                  <c:v>-120.32663533281143</c:v>
                </c:pt>
                <c:pt idx="9" formatCode="0.00">
                  <c:v>-189.36554594123666</c:v>
                </c:pt>
                <c:pt idx="13" formatCode="0.00">
                  <c:v>-194.69467873006636</c:v>
                </c:pt>
                <c:pt idx="15" formatCode="0.00">
                  <c:v>-185.94935440652543</c:v>
                </c:pt>
                <c:pt idx="17" formatCode="0.00">
                  <c:v>-198.12773655640797</c:v>
                </c:pt>
                <c:pt idx="19" formatCode="0.00">
                  <c:v>-193.43117271515001</c:v>
                </c:pt>
                <c:pt idx="20" formatCode="0.00">
                  <c:v>-159.52663667421371</c:v>
                </c:pt>
                <c:pt idx="21" formatCode="0.00">
                  <c:v>-103.78883607678235</c:v>
                </c:pt>
                <c:pt idx="22" formatCode="0.00">
                  <c:v>-100.68994896137316</c:v>
                </c:pt>
                <c:pt idx="24" formatCode="0.00">
                  <c:v>-115.66158117563532</c:v>
                </c:pt>
                <c:pt idx="25" formatCode="0.00">
                  <c:v>-120.16886103973138</c:v>
                </c:pt>
                <c:pt idx="26" formatCode="0.00">
                  <c:v>-150.83315997777655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E-4919-848B-B10B814A9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359280"/>
        <c:axId val="713361776"/>
      </c:scatterChart>
      <c:valAx>
        <c:axId val="71335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61776"/>
        <c:crosses val="autoZero"/>
        <c:crossBetween val="midCat"/>
      </c:valAx>
      <c:valAx>
        <c:axId val="7133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'R'!$AI$1</c:f>
              <c:strCache>
                <c:ptCount val="1"/>
                <c:pt idx="0">
                  <c:v>dD27_23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'R'!$B$2:$B$28</c:f>
              <c:numCache>
                <c:formatCode>General</c:formatCode>
                <c:ptCount val="27"/>
                <c:pt idx="0">
                  <c:v>24774</c:v>
                </c:pt>
                <c:pt idx="1">
                  <c:v>24185</c:v>
                </c:pt>
                <c:pt idx="2">
                  <c:v>23595</c:v>
                </c:pt>
                <c:pt idx="3">
                  <c:v>22433</c:v>
                </c:pt>
                <c:pt idx="4">
                  <c:v>20715</c:v>
                </c:pt>
                <c:pt idx="5">
                  <c:v>18744</c:v>
                </c:pt>
                <c:pt idx="6">
                  <c:v>17346</c:v>
                </c:pt>
                <c:pt idx="7">
                  <c:v>16647</c:v>
                </c:pt>
                <c:pt idx="8">
                  <c:v>15386</c:v>
                </c:pt>
                <c:pt idx="9">
                  <c:v>13494</c:v>
                </c:pt>
                <c:pt idx="10">
                  <c:v>13008</c:v>
                </c:pt>
                <c:pt idx="11">
                  <c:v>12521</c:v>
                </c:pt>
                <c:pt idx="12">
                  <c:v>11954</c:v>
                </c:pt>
                <c:pt idx="13">
                  <c:v>11792</c:v>
                </c:pt>
                <c:pt idx="14">
                  <c:v>11630</c:v>
                </c:pt>
                <c:pt idx="15">
                  <c:v>11468</c:v>
                </c:pt>
                <c:pt idx="16">
                  <c:v>11400</c:v>
                </c:pt>
                <c:pt idx="17">
                  <c:v>11332</c:v>
                </c:pt>
                <c:pt idx="18">
                  <c:v>11196</c:v>
                </c:pt>
                <c:pt idx="19">
                  <c:v>11127</c:v>
                </c:pt>
                <c:pt idx="20">
                  <c:v>11068</c:v>
                </c:pt>
                <c:pt idx="21">
                  <c:v>10948</c:v>
                </c:pt>
                <c:pt idx="22">
                  <c:v>10889</c:v>
                </c:pt>
                <c:pt idx="23">
                  <c:v>10829</c:v>
                </c:pt>
                <c:pt idx="24">
                  <c:v>10702</c:v>
                </c:pt>
                <c:pt idx="25">
                  <c:v>10576</c:v>
                </c:pt>
                <c:pt idx="26">
                  <c:v>10513</c:v>
                </c:pt>
              </c:numCache>
            </c:numRef>
          </c:xVal>
          <c:yVal>
            <c:numRef>
              <c:f>'R'!$AI$2:$AI$28</c:f>
              <c:numCache>
                <c:formatCode>0.00</c:formatCode>
                <c:ptCount val="27"/>
                <c:pt idx="0">
                  <c:v>-17.236582912970675</c:v>
                </c:pt>
                <c:pt idx="9">
                  <c:v>-21.175471623418304</c:v>
                </c:pt>
                <c:pt idx="13">
                  <c:v>-10.160257095453801</c:v>
                </c:pt>
                <c:pt idx="15">
                  <c:v>-18.902375118167839</c:v>
                </c:pt>
                <c:pt idx="17">
                  <c:v>-11.083430971114524</c:v>
                </c:pt>
                <c:pt idx="19">
                  <c:v>-15.531056044572722</c:v>
                </c:pt>
                <c:pt idx="20">
                  <c:v>-47.271411700511834</c:v>
                </c:pt>
                <c:pt idx="21">
                  <c:v>-30.558495338234891</c:v>
                </c:pt>
                <c:pt idx="22">
                  <c:v>-2.2575791975580017</c:v>
                </c:pt>
                <c:pt idx="24">
                  <c:v>-46.29318881843426</c:v>
                </c:pt>
                <c:pt idx="26">
                  <c:v>-1.1340105601951223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7-4E02-995C-D920746F8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701168"/>
        <c:axId val="1450687856"/>
      </c:scatterChart>
      <c:valAx>
        <c:axId val="145070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87856"/>
        <c:crosses val="autoZero"/>
        <c:crossBetween val="midCat"/>
      </c:valAx>
      <c:valAx>
        <c:axId val="145068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0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'R'!$AI$1</c:f>
              <c:strCache>
                <c:ptCount val="1"/>
                <c:pt idx="0">
                  <c:v>dD27_23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'R'!$A$2:$A$28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216</c:v>
                </c:pt>
                <c:pt idx="6">
                  <c:v>215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'R'!$AI$2:$AI$28</c:f>
              <c:numCache>
                <c:formatCode>0.00</c:formatCode>
                <c:ptCount val="27"/>
                <c:pt idx="0">
                  <c:v>-17.236582912970675</c:v>
                </c:pt>
                <c:pt idx="9">
                  <c:v>-21.175471623418304</c:v>
                </c:pt>
                <c:pt idx="13">
                  <c:v>-10.160257095453801</c:v>
                </c:pt>
                <c:pt idx="15">
                  <c:v>-18.902375118167839</c:v>
                </c:pt>
                <c:pt idx="17">
                  <c:v>-11.083430971114524</c:v>
                </c:pt>
                <c:pt idx="19">
                  <c:v>-15.531056044572722</c:v>
                </c:pt>
                <c:pt idx="20">
                  <c:v>-47.271411700511834</c:v>
                </c:pt>
                <c:pt idx="21">
                  <c:v>-30.558495338234891</c:v>
                </c:pt>
                <c:pt idx="22">
                  <c:v>-2.2575791975580017</c:v>
                </c:pt>
                <c:pt idx="24">
                  <c:v>-46.29318881843426</c:v>
                </c:pt>
                <c:pt idx="26">
                  <c:v>-1.1340105601951223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A-48BE-BDDA-B528C9B03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580480"/>
        <c:axId val="1457569248"/>
      </c:scatterChart>
      <c:valAx>
        <c:axId val="1457580480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69248"/>
        <c:crosses val="autoZero"/>
        <c:crossBetween val="midCat"/>
      </c:valAx>
      <c:valAx>
        <c:axId val="14575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8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Hoja11!$O$5:$O$12</c:f>
              <c:numCache>
                <c:formatCode>General</c:formatCode>
                <c:ptCount val="8"/>
                <c:pt idx="0">
                  <c:v>20715</c:v>
                </c:pt>
                <c:pt idx="1">
                  <c:v>16647</c:v>
                </c:pt>
                <c:pt idx="2">
                  <c:v>13008</c:v>
                </c:pt>
                <c:pt idx="3">
                  <c:v>11630</c:v>
                </c:pt>
                <c:pt idx="4">
                  <c:v>11400</c:v>
                </c:pt>
                <c:pt idx="5">
                  <c:v>11127</c:v>
                </c:pt>
                <c:pt idx="6">
                  <c:v>10889</c:v>
                </c:pt>
                <c:pt idx="7">
                  <c:v>10513</c:v>
                </c:pt>
              </c:numCache>
            </c:numRef>
          </c:xVal>
          <c:yVal>
            <c:numRef>
              <c:f>Hoja11!$W$5:$W$12</c:f>
              <c:numCache>
                <c:formatCode>General</c:formatCode>
                <c:ptCount val="8"/>
                <c:pt idx="0">
                  <c:v>106242</c:v>
                </c:pt>
                <c:pt idx="1">
                  <c:v>3321</c:v>
                </c:pt>
                <c:pt idx="2">
                  <c:v>3817</c:v>
                </c:pt>
                <c:pt idx="3">
                  <c:v>38466</c:v>
                </c:pt>
                <c:pt idx="4">
                  <c:v>13789</c:v>
                </c:pt>
                <c:pt idx="5">
                  <c:v>49886</c:v>
                </c:pt>
                <c:pt idx="6">
                  <c:v>13573</c:v>
                </c:pt>
                <c:pt idx="7">
                  <c:v>19342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E-45A8-AE0A-8AA9D26BE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74447"/>
        <c:axId val="1782274031"/>
      </c:scatterChart>
      <c:valAx>
        <c:axId val="178227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74031"/>
        <c:crosses val="autoZero"/>
        <c:crossBetween val="midCat"/>
      </c:valAx>
      <c:valAx>
        <c:axId val="17822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7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Hoja11!$O$5:$O$12</c:f>
              <c:numCache>
                <c:formatCode>General</c:formatCode>
                <c:ptCount val="8"/>
                <c:pt idx="0">
                  <c:v>20715</c:v>
                </c:pt>
                <c:pt idx="1">
                  <c:v>16647</c:v>
                </c:pt>
                <c:pt idx="2">
                  <c:v>13008</c:v>
                </c:pt>
                <c:pt idx="3">
                  <c:v>11630</c:v>
                </c:pt>
                <c:pt idx="4">
                  <c:v>11400</c:v>
                </c:pt>
                <c:pt idx="5">
                  <c:v>11127</c:v>
                </c:pt>
                <c:pt idx="6">
                  <c:v>10889</c:v>
                </c:pt>
                <c:pt idx="7">
                  <c:v>10513</c:v>
                </c:pt>
              </c:numCache>
            </c:numRef>
          </c:xVal>
          <c:yVal>
            <c:numRef>
              <c:f>Hoja11!$W$5:$W$12</c:f>
              <c:numCache>
                <c:formatCode>General</c:formatCode>
                <c:ptCount val="8"/>
                <c:pt idx="0">
                  <c:v>106242</c:v>
                </c:pt>
                <c:pt idx="1">
                  <c:v>3321</c:v>
                </c:pt>
                <c:pt idx="2">
                  <c:v>3817</c:v>
                </c:pt>
                <c:pt idx="3">
                  <c:v>38466</c:v>
                </c:pt>
                <c:pt idx="4">
                  <c:v>13789</c:v>
                </c:pt>
                <c:pt idx="5">
                  <c:v>49886</c:v>
                </c:pt>
                <c:pt idx="6">
                  <c:v>13573</c:v>
                </c:pt>
                <c:pt idx="7">
                  <c:v>19342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7-43C3-92A9-B0F8846B7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75279"/>
        <c:axId val="1880008143"/>
      </c:scatterChart>
      <c:valAx>
        <c:axId val="17822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08143"/>
        <c:crosses val="autoZero"/>
        <c:crossBetween val="midCat"/>
      </c:valAx>
      <c:valAx>
        <c:axId val="188000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Hoja11!$N$5:$N$12</c:f>
              <c:numCache>
                <c:formatCode>General</c:formatCode>
                <c:ptCount val="8"/>
                <c:pt idx="0">
                  <c:v>218</c:v>
                </c:pt>
                <c:pt idx="1">
                  <c:v>212</c:v>
                </c:pt>
                <c:pt idx="2">
                  <c:v>205</c:v>
                </c:pt>
                <c:pt idx="3">
                  <c:v>198</c:v>
                </c:pt>
                <c:pt idx="4">
                  <c:v>196</c:v>
                </c:pt>
                <c:pt idx="5">
                  <c:v>192</c:v>
                </c:pt>
                <c:pt idx="6">
                  <c:v>188</c:v>
                </c:pt>
                <c:pt idx="7">
                  <c:v>182</c:v>
                </c:pt>
              </c:numCache>
            </c:numRef>
          </c:xVal>
          <c:yVal>
            <c:numRef>
              <c:f>Hoja11!$W$5:$W$12</c:f>
              <c:numCache>
                <c:formatCode>General</c:formatCode>
                <c:ptCount val="8"/>
                <c:pt idx="0">
                  <c:v>106242</c:v>
                </c:pt>
                <c:pt idx="1">
                  <c:v>3321</c:v>
                </c:pt>
                <c:pt idx="2">
                  <c:v>3817</c:v>
                </c:pt>
                <c:pt idx="3">
                  <c:v>38466</c:v>
                </c:pt>
                <c:pt idx="4">
                  <c:v>13789</c:v>
                </c:pt>
                <c:pt idx="5">
                  <c:v>49886</c:v>
                </c:pt>
                <c:pt idx="6">
                  <c:v>13573</c:v>
                </c:pt>
                <c:pt idx="7">
                  <c:v>19342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8-480F-9517-758CAF7E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57087"/>
        <c:axId val="61955007"/>
      </c:scatterChart>
      <c:valAx>
        <c:axId val="6195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5007"/>
        <c:crosses val="autoZero"/>
        <c:crossBetween val="midCat"/>
      </c:valAx>
      <c:valAx>
        <c:axId val="619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Hoja6!$B$1:$B$16</c:f>
              <c:strCache>
                <c:ptCount val="16"/>
                <c:pt idx="0">
                  <c:v>dC19 </c:v>
                </c:pt>
                <c:pt idx="1">
                  <c:v>-32.70691186</c:v>
                </c:pt>
                <c:pt idx="4">
                  <c:v>-33.43139727</c:v>
                </c:pt>
                <c:pt idx="6">
                  <c:v>-44.6512505</c:v>
                </c:pt>
                <c:pt idx="7">
                  <c:v>-34.7313902</c:v>
                </c:pt>
                <c:pt idx="8">
                  <c:v>-44.95551015</c:v>
                </c:pt>
                <c:pt idx="9">
                  <c:v>-34.63796904</c:v>
                </c:pt>
                <c:pt idx="10">
                  <c:v>-32.5663216</c:v>
                </c:pt>
                <c:pt idx="11">
                  <c:v>-35.04863884</c:v>
                </c:pt>
                <c:pt idx="12">
                  <c:v>-36.24014913</c:v>
                </c:pt>
                <c:pt idx="14">
                  <c:v>-33.29503051</c:v>
                </c:pt>
                <c:pt idx="15">
                  <c:v>n/a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Hoja6!$A$17:$A$28</c:f>
              <c:numCache>
                <c:formatCode>General</c:formatCode>
                <c:ptCount val="12"/>
                <c:pt idx="0">
                  <c:v>197</c:v>
                </c:pt>
                <c:pt idx="1">
                  <c:v>196</c:v>
                </c:pt>
                <c:pt idx="2">
                  <c:v>195</c:v>
                </c:pt>
                <c:pt idx="3">
                  <c:v>193</c:v>
                </c:pt>
                <c:pt idx="4">
                  <c:v>192</c:v>
                </c:pt>
                <c:pt idx="5">
                  <c:v>191</c:v>
                </c:pt>
                <c:pt idx="6">
                  <c:v>189</c:v>
                </c:pt>
                <c:pt idx="7">
                  <c:v>188</c:v>
                </c:pt>
                <c:pt idx="8">
                  <c:v>187</c:v>
                </c:pt>
                <c:pt idx="9">
                  <c:v>185</c:v>
                </c:pt>
                <c:pt idx="10">
                  <c:v>183</c:v>
                </c:pt>
                <c:pt idx="11">
                  <c:v>182</c:v>
                </c:pt>
              </c:numCache>
            </c:numRef>
          </c:xVal>
          <c:yVal>
            <c:numRef>
              <c:f>Hoja6!$B$17:$B$28</c:f>
              <c:numCache>
                <c:formatCode>General</c:formatCode>
                <c:ptCount val="12"/>
                <c:pt idx="0">
                  <c:v>-33.927605230952231</c:v>
                </c:pt>
                <c:pt idx="2">
                  <c:v>-31.910581804794955</c:v>
                </c:pt>
                <c:pt idx="3">
                  <c:v>-26.261892893316947</c:v>
                </c:pt>
                <c:pt idx="4">
                  <c:v>-33.364149837477498</c:v>
                </c:pt>
                <c:pt idx="5">
                  <c:v>-29.674679888761702</c:v>
                </c:pt>
                <c:pt idx="6">
                  <c:v>-30.909694765695697</c:v>
                </c:pt>
                <c:pt idx="7">
                  <c:v>-30.139031498989421</c:v>
                </c:pt>
                <c:pt idx="9">
                  <c:v>-29.010397037382504</c:v>
                </c:pt>
                <c:pt idx="10">
                  <c:v>-30.005747271519009</c:v>
                </c:pt>
                <c:pt idx="11">
                  <c:v>-33.387890698951409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0-4A97-945B-7DF5C7E24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23343"/>
        <c:axId val="89821263"/>
      </c:scatterChart>
      <c:valAx>
        <c:axId val="8982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1263"/>
        <c:crosses val="autoZero"/>
        <c:crossBetween val="midCat"/>
      </c:valAx>
      <c:valAx>
        <c:axId val="898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Hoja6!$D$1</c:f>
              <c:strCache>
                <c:ptCount val="1"/>
                <c:pt idx="0">
                  <c:v>dC21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Hoja6!$A$2:$A$28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Hoja6!$D$2:$D$28</c:f>
              <c:numCache>
                <c:formatCode>General</c:formatCode>
                <c:ptCount val="27"/>
                <c:pt idx="0">
                  <c:v>-31.26013397320628</c:v>
                </c:pt>
                <c:pt idx="3">
                  <c:v>-31.388693674095929</c:v>
                </c:pt>
                <c:pt idx="5">
                  <c:v>-31.569093032030693</c:v>
                </c:pt>
                <c:pt idx="6">
                  <c:v>-31.996203709878035</c:v>
                </c:pt>
                <c:pt idx="7">
                  <c:v>-31.444492809572061</c:v>
                </c:pt>
                <c:pt idx="8">
                  <c:v>-31.269435097057737</c:v>
                </c:pt>
                <c:pt idx="9">
                  <c:v>-31.482436317158871</c:v>
                </c:pt>
                <c:pt idx="10">
                  <c:v>-31.962176990957282</c:v>
                </c:pt>
                <c:pt idx="11">
                  <c:v>-31.268062630522635</c:v>
                </c:pt>
                <c:pt idx="13">
                  <c:v>-31.771838980726255</c:v>
                </c:pt>
                <c:pt idx="14">
                  <c:v>-33.484353698616687</c:v>
                </c:pt>
                <c:pt idx="15">
                  <c:v>-32.778436953664666</c:v>
                </c:pt>
                <c:pt idx="17">
                  <c:v>-32.323876339139872</c:v>
                </c:pt>
                <c:pt idx="18">
                  <c:v>-29.124229901711587</c:v>
                </c:pt>
                <c:pt idx="19">
                  <c:v>-32.071060755952907</c:v>
                </c:pt>
                <c:pt idx="20">
                  <c:v>-32.11477572990924</c:v>
                </c:pt>
                <c:pt idx="21">
                  <c:v>-31.416839535100749</c:v>
                </c:pt>
                <c:pt idx="22">
                  <c:v>-29.344982160508422</c:v>
                </c:pt>
                <c:pt idx="24">
                  <c:v>-30.670641013068174</c:v>
                </c:pt>
                <c:pt idx="25">
                  <c:v>-25.6062699010618</c:v>
                </c:pt>
                <c:pt idx="26">
                  <c:v>-32.009335101162627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A-418B-9E11-852B7B949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6831"/>
        <c:axId val="171608079"/>
      </c:scatterChart>
      <c:valAx>
        <c:axId val="171606831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8079"/>
        <c:crosses val="autoZero"/>
        <c:crossBetween val="midCat"/>
      </c:valAx>
      <c:valAx>
        <c:axId val="1716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Hoja5!$A$2</c:f>
              <c:strCache>
                <c:ptCount val="1"/>
                <c:pt idx="0">
                  <c:v>dC19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Hoja5!$B$2:$AB$2</c:f>
              <c:numCache>
                <c:formatCode>General</c:formatCode>
                <c:ptCount val="27"/>
                <c:pt idx="0">
                  <c:v>-32.706911862573108</c:v>
                </c:pt>
                <c:pt idx="3">
                  <c:v>-33.431397267846108</c:v>
                </c:pt>
                <c:pt idx="5">
                  <c:v>-44.651250502012388</c:v>
                </c:pt>
                <c:pt idx="6">
                  <c:v>-34.731390203759915</c:v>
                </c:pt>
                <c:pt idx="7">
                  <c:v>-44.955510154329026</c:v>
                </c:pt>
                <c:pt idx="8">
                  <c:v>-34.637969036890681</c:v>
                </c:pt>
                <c:pt idx="9">
                  <c:v>-32.566321601907816</c:v>
                </c:pt>
                <c:pt idx="10">
                  <c:v>-35.048638839016881</c:v>
                </c:pt>
                <c:pt idx="11">
                  <c:v>-36.240149125703795</c:v>
                </c:pt>
                <c:pt idx="13">
                  <c:v>-33.295030512240196</c:v>
                </c:pt>
                <c:pt idx="15">
                  <c:v>-33.927605230952231</c:v>
                </c:pt>
                <c:pt idx="17">
                  <c:v>-31.910581804794955</c:v>
                </c:pt>
                <c:pt idx="18">
                  <c:v>-26.261892893316947</c:v>
                </c:pt>
                <c:pt idx="19">
                  <c:v>-33.364149837477498</c:v>
                </c:pt>
                <c:pt idx="20">
                  <c:v>-29.674679888761702</c:v>
                </c:pt>
                <c:pt idx="21">
                  <c:v>-30.909694765695697</c:v>
                </c:pt>
                <c:pt idx="22">
                  <c:v>-30.139031498989421</c:v>
                </c:pt>
                <c:pt idx="24">
                  <c:v>-29.010397037382504</c:v>
                </c:pt>
                <c:pt idx="25">
                  <c:v>-30.005747271519009</c:v>
                </c:pt>
                <c:pt idx="26">
                  <c:v>-33.387890698951409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D9-4B24-AA4A-0D455DB489B9}"/>
            </c:ext>
          </c:extLst>
        </c:ser>
        <c:ser>
          <c:idx val="1"/>
          <c:order val="1"/>
          <c:tx>
            <c:strRef>
              <c:f>Hoja5!$A$3</c:f>
              <c:strCache>
                <c:ptCount val="1"/>
                <c:pt idx="0">
                  <c:v>dC20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Hoja5!$B$3:$AB$3</c:f>
              <c:numCache>
                <c:formatCode>General</c:formatCode>
                <c:ptCount val="27"/>
                <c:pt idx="0">
                  <c:v>-42.067204447389344</c:v>
                </c:pt>
                <c:pt idx="3">
                  <c:v>-46.811000989117993</c:v>
                </c:pt>
                <c:pt idx="5">
                  <c:v>-59.512298704586108</c:v>
                </c:pt>
                <c:pt idx="7">
                  <c:v>-49.666106528016684</c:v>
                </c:pt>
                <c:pt idx="8">
                  <c:v>-31.875735551165747</c:v>
                </c:pt>
                <c:pt idx="9">
                  <c:v>-34.886057478613004</c:v>
                </c:pt>
                <c:pt idx="10">
                  <c:v>-36.052015208833296</c:v>
                </c:pt>
                <c:pt idx="11">
                  <c:v>-37.202079565386313</c:v>
                </c:pt>
                <c:pt idx="13">
                  <c:v>-32.887806778559678</c:v>
                </c:pt>
                <c:pt idx="15">
                  <c:v>-33.885161338013873</c:v>
                </c:pt>
                <c:pt idx="17">
                  <c:v>-35.769271405996669</c:v>
                </c:pt>
                <c:pt idx="18">
                  <c:v>-26.593790838586077</c:v>
                </c:pt>
                <c:pt idx="19">
                  <c:v>-33.592047783198936</c:v>
                </c:pt>
                <c:pt idx="20">
                  <c:v>-32.219673019953895</c:v>
                </c:pt>
                <c:pt idx="21">
                  <c:v>-32.747249389038259</c:v>
                </c:pt>
                <c:pt idx="22">
                  <c:v>-32.721503645310193</c:v>
                </c:pt>
                <c:pt idx="24">
                  <c:v>-29.617455506705266</c:v>
                </c:pt>
                <c:pt idx="25">
                  <c:v>-32.216779774776938</c:v>
                </c:pt>
                <c:pt idx="26">
                  <c:v>-30.458650412406989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D9-4B24-AA4A-0D455DB489B9}"/>
            </c:ext>
          </c:extLst>
        </c:ser>
        <c:ser>
          <c:idx val="2"/>
          <c:order val="2"/>
          <c:tx>
            <c:strRef>
              <c:f>Hoja5!$A$4</c:f>
              <c:strCache>
                <c:ptCount val="1"/>
                <c:pt idx="0">
                  <c:v>dC21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Hoja5!$B$4:$AB$4</c:f>
              <c:numCache>
                <c:formatCode>General</c:formatCode>
                <c:ptCount val="27"/>
                <c:pt idx="0">
                  <c:v>-31.26013397320628</c:v>
                </c:pt>
                <c:pt idx="3">
                  <c:v>-31.388693674095929</c:v>
                </c:pt>
                <c:pt idx="5">
                  <c:v>-31.569093032030693</c:v>
                </c:pt>
                <c:pt idx="6">
                  <c:v>-31.996203709878035</c:v>
                </c:pt>
                <c:pt idx="7">
                  <c:v>-31.444492809572061</c:v>
                </c:pt>
                <c:pt idx="8">
                  <c:v>-31.269435097057737</c:v>
                </c:pt>
                <c:pt idx="9">
                  <c:v>-31.482436317158871</c:v>
                </c:pt>
                <c:pt idx="10">
                  <c:v>-31.962176990957282</c:v>
                </c:pt>
                <c:pt idx="11">
                  <c:v>-31.268062630522635</c:v>
                </c:pt>
                <c:pt idx="13">
                  <c:v>-31.771838980726255</c:v>
                </c:pt>
                <c:pt idx="14">
                  <c:v>-33.484353698616687</c:v>
                </c:pt>
                <c:pt idx="15">
                  <c:v>-32.778436953664666</c:v>
                </c:pt>
                <c:pt idx="17">
                  <c:v>-32.323876339139872</c:v>
                </c:pt>
                <c:pt idx="18">
                  <c:v>-29.124229901711587</c:v>
                </c:pt>
                <c:pt idx="19">
                  <c:v>-32.071060755952907</c:v>
                </c:pt>
                <c:pt idx="20">
                  <c:v>-32.11477572990924</c:v>
                </c:pt>
                <c:pt idx="21">
                  <c:v>-31.416839535100749</c:v>
                </c:pt>
                <c:pt idx="22">
                  <c:v>-29.344982160508422</c:v>
                </c:pt>
                <c:pt idx="24">
                  <c:v>-30.670641013068174</c:v>
                </c:pt>
                <c:pt idx="25">
                  <c:v>-25.6062699010618</c:v>
                </c:pt>
                <c:pt idx="26">
                  <c:v>-32.009335101162627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D9-4B24-AA4A-0D455DB489B9}"/>
            </c:ext>
          </c:extLst>
        </c:ser>
        <c:ser>
          <c:idx val="3"/>
          <c:order val="3"/>
          <c:tx>
            <c:strRef>
              <c:f>Hoja5!$A$5</c:f>
              <c:strCache>
                <c:ptCount val="1"/>
                <c:pt idx="0">
                  <c:v>dC22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Hoja5!$B$5:$AB$5</c:f>
              <c:numCache>
                <c:formatCode>General</c:formatCode>
                <c:ptCount val="27"/>
                <c:pt idx="0">
                  <c:v>-30.704770209768814</c:v>
                </c:pt>
                <c:pt idx="3">
                  <c:v>-30.058523820439689</c:v>
                </c:pt>
                <c:pt idx="5">
                  <c:v>-30.490550369533054</c:v>
                </c:pt>
                <c:pt idx="6">
                  <c:v>-30.756848245907115</c:v>
                </c:pt>
                <c:pt idx="7">
                  <c:v>-30.75435888399533</c:v>
                </c:pt>
                <c:pt idx="8">
                  <c:v>-30.95525372669427</c:v>
                </c:pt>
                <c:pt idx="9">
                  <c:v>-30.941322109564897</c:v>
                </c:pt>
                <c:pt idx="10">
                  <c:v>-30.887286827799116</c:v>
                </c:pt>
                <c:pt idx="11">
                  <c:v>-30.501275250384378</c:v>
                </c:pt>
                <c:pt idx="13">
                  <c:v>-31.704814870412498</c:v>
                </c:pt>
                <c:pt idx="14">
                  <c:v>-31.998706334905275</c:v>
                </c:pt>
                <c:pt idx="15">
                  <c:v>-31.591578517685669</c:v>
                </c:pt>
                <c:pt idx="17">
                  <c:v>-31.516996793847113</c:v>
                </c:pt>
                <c:pt idx="18">
                  <c:v>-28.917842389034043</c:v>
                </c:pt>
                <c:pt idx="19">
                  <c:v>-31.386209605100156</c:v>
                </c:pt>
                <c:pt idx="20">
                  <c:v>-31.44344949383758</c:v>
                </c:pt>
                <c:pt idx="21">
                  <c:v>-31.149137480146909</c:v>
                </c:pt>
                <c:pt idx="22">
                  <c:v>-31.128792300904834</c:v>
                </c:pt>
                <c:pt idx="24">
                  <c:v>-30.727924494359481</c:v>
                </c:pt>
                <c:pt idx="25">
                  <c:v>-31.268309926560974</c:v>
                </c:pt>
                <c:pt idx="26">
                  <c:v>-31.39295638391723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D9-4B24-AA4A-0D455DB489B9}"/>
            </c:ext>
          </c:extLst>
        </c:ser>
        <c:ser>
          <c:idx val="4"/>
          <c:order val="4"/>
          <c:tx>
            <c:strRef>
              <c:f>Hoja5!$A$6</c:f>
              <c:strCache>
                <c:ptCount val="1"/>
                <c:pt idx="0">
                  <c:v>dC23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Hoja5!$B$6:$AB$6</c:f>
              <c:numCache>
                <c:formatCode>General</c:formatCode>
                <c:ptCount val="27"/>
                <c:pt idx="0">
                  <c:v>-31.207487041152262</c:v>
                </c:pt>
                <c:pt idx="3">
                  <c:v>-31.248658257509422</c:v>
                </c:pt>
                <c:pt idx="5">
                  <c:v>-31.708986431473846</c:v>
                </c:pt>
                <c:pt idx="6">
                  <c:v>-30.621514039592121</c:v>
                </c:pt>
                <c:pt idx="7">
                  <c:v>-32.061995314824564</c:v>
                </c:pt>
                <c:pt idx="8">
                  <c:v>-31.369312072870613</c:v>
                </c:pt>
                <c:pt idx="9">
                  <c:v>-32.095987187135222</c:v>
                </c:pt>
                <c:pt idx="10">
                  <c:v>-32.201468148512589</c:v>
                </c:pt>
                <c:pt idx="11">
                  <c:v>-31.980162387418837</c:v>
                </c:pt>
                <c:pt idx="13">
                  <c:v>-33.172372903746989</c:v>
                </c:pt>
                <c:pt idx="14">
                  <c:v>-31.212168441662794</c:v>
                </c:pt>
                <c:pt idx="15">
                  <c:v>-32.2909392597928</c:v>
                </c:pt>
                <c:pt idx="17">
                  <c:v>-32.301043413217684</c:v>
                </c:pt>
                <c:pt idx="18">
                  <c:v>-30.045007169994939</c:v>
                </c:pt>
                <c:pt idx="19">
                  <c:v>-32.06181567757006</c:v>
                </c:pt>
                <c:pt idx="20">
                  <c:v>-32.169826266501168</c:v>
                </c:pt>
                <c:pt idx="21">
                  <c:v>-31.661747779247374</c:v>
                </c:pt>
                <c:pt idx="22">
                  <c:v>-31.359470725595244</c:v>
                </c:pt>
                <c:pt idx="24">
                  <c:v>-31.005624039199944</c:v>
                </c:pt>
                <c:pt idx="25">
                  <c:v>-31.459060092603323</c:v>
                </c:pt>
                <c:pt idx="26">
                  <c:v>-32.139607607272033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D9-4B24-AA4A-0D455DB489B9}"/>
            </c:ext>
          </c:extLst>
        </c:ser>
        <c:ser>
          <c:idx val="5"/>
          <c:order val="5"/>
          <c:tx>
            <c:strRef>
              <c:f>Hoja5!$A$7</c:f>
              <c:strCache>
                <c:ptCount val="1"/>
                <c:pt idx="0">
                  <c:v>dC24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Hoja5!$B$7:$AB$7</c:f>
              <c:numCache>
                <c:formatCode>General</c:formatCode>
                <c:ptCount val="27"/>
                <c:pt idx="0">
                  <c:v>-30.454184180180086</c:v>
                </c:pt>
                <c:pt idx="3">
                  <c:v>-31.539698583065757</c:v>
                </c:pt>
                <c:pt idx="5">
                  <c:v>-32.256883484630777</c:v>
                </c:pt>
                <c:pt idx="6">
                  <c:v>-30.276126127291064</c:v>
                </c:pt>
                <c:pt idx="7">
                  <c:v>-31.683433480710477</c:v>
                </c:pt>
                <c:pt idx="8">
                  <c:v>-31.127019353563689</c:v>
                </c:pt>
                <c:pt idx="9">
                  <c:v>-31.086099763072745</c:v>
                </c:pt>
                <c:pt idx="10">
                  <c:v>-31.579022710590053</c:v>
                </c:pt>
                <c:pt idx="11">
                  <c:v>-31.640692365761822</c:v>
                </c:pt>
                <c:pt idx="13">
                  <c:v>-32.593208240281179</c:v>
                </c:pt>
                <c:pt idx="14">
                  <c:v>-31.372487968470793</c:v>
                </c:pt>
                <c:pt idx="15">
                  <c:v>-32.205514339145296</c:v>
                </c:pt>
                <c:pt idx="17">
                  <c:v>-32.40596840160481</c:v>
                </c:pt>
                <c:pt idx="18">
                  <c:v>-31.450794339489605</c:v>
                </c:pt>
                <c:pt idx="19">
                  <c:v>-32.304328787555434</c:v>
                </c:pt>
                <c:pt idx="20">
                  <c:v>-31.537993173820443</c:v>
                </c:pt>
                <c:pt idx="21">
                  <c:v>-31.396889663067974</c:v>
                </c:pt>
                <c:pt idx="22">
                  <c:v>-31.156664350390955</c:v>
                </c:pt>
                <c:pt idx="24">
                  <c:v>-31.225997740812332</c:v>
                </c:pt>
                <c:pt idx="25">
                  <c:v>-31.873821367121881</c:v>
                </c:pt>
                <c:pt idx="26">
                  <c:v>-31.49721602394505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D9-4B24-AA4A-0D455DB489B9}"/>
            </c:ext>
          </c:extLst>
        </c:ser>
        <c:ser>
          <c:idx val="6"/>
          <c:order val="6"/>
          <c:tx>
            <c:strRef>
              <c:f>Hoja5!$A$8</c:f>
              <c:strCache>
                <c:ptCount val="1"/>
                <c:pt idx="0">
                  <c:v>dC25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Hoja5!$B$8:$AB$8</c:f>
              <c:numCache>
                <c:formatCode>General</c:formatCode>
                <c:ptCount val="27"/>
                <c:pt idx="0">
                  <c:v>-31.077016631381291</c:v>
                </c:pt>
                <c:pt idx="3">
                  <c:v>-31.871337630749004</c:v>
                </c:pt>
                <c:pt idx="5">
                  <c:v>-31.742947529982452</c:v>
                </c:pt>
                <c:pt idx="6">
                  <c:v>-30.363942639824053</c:v>
                </c:pt>
                <c:pt idx="7">
                  <c:v>-31.901820753991231</c:v>
                </c:pt>
                <c:pt idx="8">
                  <c:v>-31.005477054243819</c:v>
                </c:pt>
                <c:pt idx="9">
                  <c:v>-31.97926257805311</c:v>
                </c:pt>
                <c:pt idx="10">
                  <c:v>-31.780696535368087</c:v>
                </c:pt>
                <c:pt idx="11">
                  <c:v>-30.580088175230856</c:v>
                </c:pt>
                <c:pt idx="13">
                  <c:v>-32.494412687152277</c:v>
                </c:pt>
                <c:pt idx="14">
                  <c:v>-32.044840126675865</c:v>
                </c:pt>
                <c:pt idx="15">
                  <c:v>-31.943738556246927</c:v>
                </c:pt>
                <c:pt idx="17">
                  <c:v>-32.388437272475294</c:v>
                </c:pt>
                <c:pt idx="18">
                  <c:v>-31.396455872043628</c:v>
                </c:pt>
                <c:pt idx="19">
                  <c:v>-32.491043095722205</c:v>
                </c:pt>
                <c:pt idx="20">
                  <c:v>-32.220395498526429</c:v>
                </c:pt>
                <c:pt idx="21">
                  <c:v>-32.040047504276814</c:v>
                </c:pt>
                <c:pt idx="22">
                  <c:v>-31.548306801589796</c:v>
                </c:pt>
                <c:pt idx="24">
                  <c:v>-31.238945011401206</c:v>
                </c:pt>
                <c:pt idx="25">
                  <c:v>-31.899325014113607</c:v>
                </c:pt>
                <c:pt idx="26">
                  <c:v>-32.364027162413066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D9-4B24-AA4A-0D455DB489B9}"/>
            </c:ext>
          </c:extLst>
        </c:ser>
        <c:ser>
          <c:idx val="7"/>
          <c:order val="7"/>
          <c:tx>
            <c:strRef>
              <c:f>Hoja5!$A$9</c:f>
              <c:strCache>
                <c:ptCount val="1"/>
                <c:pt idx="0">
                  <c:v>dC26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Hoja5!$B$9:$AB$9</c:f>
              <c:numCache>
                <c:formatCode>General</c:formatCode>
                <c:ptCount val="27"/>
                <c:pt idx="0">
                  <c:v>-30.534491627779985</c:v>
                </c:pt>
                <c:pt idx="5">
                  <c:v>-31.091927261837291</c:v>
                </c:pt>
                <c:pt idx="6">
                  <c:v>-30.707678206793606</c:v>
                </c:pt>
                <c:pt idx="7">
                  <c:v>-31.679424559470498</c:v>
                </c:pt>
                <c:pt idx="8">
                  <c:v>-32.570820501681652</c:v>
                </c:pt>
                <c:pt idx="9">
                  <c:v>-32.099827288888449</c:v>
                </c:pt>
                <c:pt idx="10">
                  <c:v>-31.656094434881332</c:v>
                </c:pt>
                <c:pt idx="11">
                  <c:v>-36.101448444685268</c:v>
                </c:pt>
                <c:pt idx="13">
                  <c:v>-34.090099431984051</c:v>
                </c:pt>
                <c:pt idx="14">
                  <c:v>-30.704551233034291</c:v>
                </c:pt>
                <c:pt idx="15">
                  <c:v>-31.881232048210443</c:v>
                </c:pt>
                <c:pt idx="17">
                  <c:v>-32.691137182928024</c:v>
                </c:pt>
                <c:pt idx="18">
                  <c:v>-30.751909142069117</c:v>
                </c:pt>
                <c:pt idx="19">
                  <c:v>-33.05928531589673</c:v>
                </c:pt>
                <c:pt idx="20">
                  <c:v>-33.307087288055442</c:v>
                </c:pt>
                <c:pt idx="21">
                  <c:v>-33.103996835225445</c:v>
                </c:pt>
                <c:pt idx="22">
                  <c:v>-30.735335400938347</c:v>
                </c:pt>
                <c:pt idx="24">
                  <c:v>-31.832532566011274</c:v>
                </c:pt>
                <c:pt idx="25">
                  <c:v>-31.600726983579818</c:v>
                </c:pt>
                <c:pt idx="26">
                  <c:v>-29.462530088394711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D9-4B24-AA4A-0D455DB489B9}"/>
            </c:ext>
          </c:extLst>
        </c:ser>
        <c:ser>
          <c:idx val="8"/>
          <c:order val="8"/>
          <c:tx>
            <c:strRef>
              <c:f>Hoja5!$A$10</c:f>
              <c:strCache>
                <c:ptCount val="1"/>
                <c:pt idx="0">
                  <c:v>dC27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Hoja5!$B$10:$AB$10</c:f>
              <c:numCache>
                <c:formatCode>General</c:formatCode>
                <c:ptCount val="27"/>
                <c:pt idx="0">
                  <c:v>-32.019327287663913</c:v>
                </c:pt>
                <c:pt idx="3">
                  <c:v>-32.329409465784259</c:v>
                </c:pt>
                <c:pt idx="5">
                  <c:v>-31.981715048974287</c:v>
                </c:pt>
                <c:pt idx="6">
                  <c:v>-31.119884043298946</c:v>
                </c:pt>
                <c:pt idx="7">
                  <c:v>-32.037925106361087</c:v>
                </c:pt>
                <c:pt idx="8">
                  <c:v>-32.967670215835255</c:v>
                </c:pt>
                <c:pt idx="9">
                  <c:v>-32.970252162108522</c:v>
                </c:pt>
                <c:pt idx="10">
                  <c:v>-31.911838331020526</c:v>
                </c:pt>
                <c:pt idx="11">
                  <c:v>-32.028198237130539</c:v>
                </c:pt>
                <c:pt idx="13">
                  <c:v>-31.608384589859188</c:v>
                </c:pt>
                <c:pt idx="14">
                  <c:v>-32.131117909359951</c:v>
                </c:pt>
                <c:pt idx="15">
                  <c:v>-31.654380456120577</c:v>
                </c:pt>
                <c:pt idx="17">
                  <c:v>-32.005900691402751</c:v>
                </c:pt>
                <c:pt idx="18">
                  <c:v>-31.02919366994654</c:v>
                </c:pt>
                <c:pt idx="19">
                  <c:v>-32.017638842782894</c:v>
                </c:pt>
                <c:pt idx="20">
                  <c:v>-31.712834819988238</c:v>
                </c:pt>
                <c:pt idx="21">
                  <c:v>-31.318650272537269</c:v>
                </c:pt>
                <c:pt idx="22">
                  <c:v>-30.884623816179918</c:v>
                </c:pt>
                <c:pt idx="24">
                  <c:v>-30.742631979649943</c:v>
                </c:pt>
                <c:pt idx="25">
                  <c:v>-31.106115506465983</c:v>
                </c:pt>
                <c:pt idx="26">
                  <c:v>-31.752620378792287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D9-4B24-AA4A-0D455DB489B9}"/>
            </c:ext>
          </c:extLst>
        </c:ser>
        <c:ser>
          <c:idx val="9"/>
          <c:order val="9"/>
          <c:tx>
            <c:strRef>
              <c:f>Hoja5!$A$11</c:f>
              <c:strCache>
                <c:ptCount val="1"/>
                <c:pt idx="0">
                  <c:v>dC28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Hoja5!$B$11:$AB$11</c:f>
              <c:numCache>
                <c:formatCode>General</c:formatCode>
                <c:ptCount val="27"/>
                <c:pt idx="0">
                  <c:v>-31.604565312929157</c:v>
                </c:pt>
                <c:pt idx="6">
                  <c:v>-31.704057791423601</c:v>
                </c:pt>
                <c:pt idx="7">
                  <c:v>-31.470316178436882</c:v>
                </c:pt>
                <c:pt idx="8">
                  <c:v>-32.693343691738669</c:v>
                </c:pt>
                <c:pt idx="9">
                  <c:v>-33.258876367804589</c:v>
                </c:pt>
                <c:pt idx="10">
                  <c:v>-33.571682283520857</c:v>
                </c:pt>
                <c:pt idx="11">
                  <c:v>-31.295381346409762</c:v>
                </c:pt>
                <c:pt idx="13">
                  <c:v>-33.254658186583164</c:v>
                </c:pt>
                <c:pt idx="14">
                  <c:v>-37.442042298333064</c:v>
                </c:pt>
                <c:pt idx="15">
                  <c:v>-32.335023930458206</c:v>
                </c:pt>
                <c:pt idx="17">
                  <c:v>-33.602708200889438</c:v>
                </c:pt>
                <c:pt idx="18">
                  <c:v>-30.993939226261364</c:v>
                </c:pt>
                <c:pt idx="19">
                  <c:v>-34.092593765276305</c:v>
                </c:pt>
                <c:pt idx="20">
                  <c:v>-33.673328673144134</c:v>
                </c:pt>
                <c:pt idx="21">
                  <c:v>-33.278305712983297</c:v>
                </c:pt>
                <c:pt idx="22">
                  <c:v>-32.891608808404229</c:v>
                </c:pt>
                <c:pt idx="24">
                  <c:v>-32.754524994535288</c:v>
                </c:pt>
                <c:pt idx="25">
                  <c:v>-33.699798537975447</c:v>
                </c:pt>
                <c:pt idx="26">
                  <c:v>-33.552625786934819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D9-4B24-AA4A-0D455DB489B9}"/>
            </c:ext>
          </c:extLst>
        </c:ser>
        <c:ser>
          <c:idx val="10"/>
          <c:order val="10"/>
          <c:tx>
            <c:strRef>
              <c:f>Hoja5!$A$12</c:f>
              <c:strCache>
                <c:ptCount val="1"/>
                <c:pt idx="0">
                  <c:v>dC29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Hoja5!$B$12:$AB$12</c:f>
              <c:numCache>
                <c:formatCode>General</c:formatCode>
                <c:ptCount val="27"/>
                <c:pt idx="0">
                  <c:v>-33.21556357910471</c:v>
                </c:pt>
                <c:pt idx="3">
                  <c:v>-33.971292892031272</c:v>
                </c:pt>
                <c:pt idx="5">
                  <c:v>-32.911291515861294</c:v>
                </c:pt>
                <c:pt idx="6">
                  <c:v>-32.368908628927564</c:v>
                </c:pt>
                <c:pt idx="7">
                  <c:v>-33.497223311937276</c:v>
                </c:pt>
                <c:pt idx="8">
                  <c:v>-33.5220613985379</c:v>
                </c:pt>
                <c:pt idx="9">
                  <c:v>-33.581778951685813</c:v>
                </c:pt>
                <c:pt idx="10">
                  <c:v>-32.867919237665774</c:v>
                </c:pt>
                <c:pt idx="11">
                  <c:v>-33.061947546417926</c:v>
                </c:pt>
                <c:pt idx="13">
                  <c:v>-33.154116283236995</c:v>
                </c:pt>
                <c:pt idx="14">
                  <c:v>-36.103669581648504</c:v>
                </c:pt>
                <c:pt idx="15">
                  <c:v>-32.590461824164166</c:v>
                </c:pt>
                <c:pt idx="17">
                  <c:v>-32.894704613757881</c:v>
                </c:pt>
                <c:pt idx="18">
                  <c:v>-32.607939767123199</c:v>
                </c:pt>
                <c:pt idx="19">
                  <c:v>-33.090553223822674</c:v>
                </c:pt>
                <c:pt idx="20">
                  <c:v>-32.831529593890778</c:v>
                </c:pt>
                <c:pt idx="21">
                  <c:v>-32.04796200057109</c:v>
                </c:pt>
                <c:pt idx="22">
                  <c:v>-31.775916223565133</c:v>
                </c:pt>
                <c:pt idx="24">
                  <c:v>-31.686540650681739</c:v>
                </c:pt>
                <c:pt idx="25">
                  <c:v>-31.719064572618009</c:v>
                </c:pt>
                <c:pt idx="26">
                  <c:v>-32.680866533268158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D9-4B24-AA4A-0D455DB489B9}"/>
            </c:ext>
          </c:extLst>
        </c:ser>
        <c:ser>
          <c:idx val="11"/>
          <c:order val="11"/>
          <c:tx>
            <c:strRef>
              <c:f>Hoja5!$A$13</c:f>
              <c:strCache>
                <c:ptCount val="1"/>
                <c:pt idx="0">
                  <c:v>dC30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Hoja5!$B$13:$AB$13</c:f>
              <c:numCache>
                <c:formatCode>General</c:formatCode>
                <c:ptCount val="27"/>
                <c:pt idx="0">
                  <c:v>-32.497071466565941</c:v>
                </c:pt>
                <c:pt idx="6">
                  <c:v>-32.780070842612943</c:v>
                </c:pt>
                <c:pt idx="10">
                  <c:v>-35.936086175042497</c:v>
                </c:pt>
                <c:pt idx="13">
                  <c:v>-36.731337530192889</c:v>
                </c:pt>
                <c:pt idx="15">
                  <c:v>-33.198652107756025</c:v>
                </c:pt>
                <c:pt idx="17">
                  <c:v>-34.907915832957357</c:v>
                </c:pt>
                <c:pt idx="18">
                  <c:v>-34.298823125347774</c:v>
                </c:pt>
                <c:pt idx="19">
                  <c:v>-35.971045930566049</c:v>
                </c:pt>
                <c:pt idx="20">
                  <c:v>-36.095063897289094</c:v>
                </c:pt>
                <c:pt idx="21">
                  <c:v>-33.452431749065283</c:v>
                </c:pt>
                <c:pt idx="22">
                  <c:v>-33.729569124828615</c:v>
                </c:pt>
                <c:pt idx="24">
                  <c:v>-33.390436727320626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2D9-4B24-AA4A-0D455DB489B9}"/>
            </c:ext>
          </c:extLst>
        </c:ser>
        <c:ser>
          <c:idx val="12"/>
          <c:order val="12"/>
          <c:tx>
            <c:strRef>
              <c:f>Hoja5!$A$14</c:f>
              <c:strCache>
                <c:ptCount val="1"/>
                <c:pt idx="0">
                  <c:v>dC31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Hoja5!$B$1:$AB$1</c:f>
              <c:numCache>
                <c:formatCode>General</c:formatCode>
                <c:ptCount val="27"/>
                <c:pt idx="0">
                  <c:v>225</c:v>
                </c:pt>
                <c:pt idx="1">
                  <c:v>224</c:v>
                </c:pt>
                <c:pt idx="2">
                  <c:v>223</c:v>
                </c:pt>
                <c:pt idx="3">
                  <c:v>221</c:v>
                </c:pt>
                <c:pt idx="4">
                  <c:v>218</c:v>
                </c:pt>
                <c:pt idx="5">
                  <c:v>215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205</c:v>
                </c:pt>
                <c:pt idx="11">
                  <c:v>203</c:v>
                </c:pt>
                <c:pt idx="12">
                  <c:v>200</c:v>
                </c:pt>
                <c:pt idx="13">
                  <c:v>199</c:v>
                </c:pt>
                <c:pt idx="14">
                  <c:v>198</c:v>
                </c:pt>
                <c:pt idx="15">
                  <c:v>197</c:v>
                </c:pt>
                <c:pt idx="16">
                  <c:v>196</c:v>
                </c:pt>
                <c:pt idx="17">
                  <c:v>195</c:v>
                </c:pt>
                <c:pt idx="18">
                  <c:v>193</c:v>
                </c:pt>
                <c:pt idx="19">
                  <c:v>192</c:v>
                </c:pt>
                <c:pt idx="20">
                  <c:v>191</c:v>
                </c:pt>
                <c:pt idx="21">
                  <c:v>189</c:v>
                </c:pt>
                <c:pt idx="22">
                  <c:v>188</c:v>
                </c:pt>
                <c:pt idx="23">
                  <c:v>187</c:v>
                </c:pt>
                <c:pt idx="24">
                  <c:v>185</c:v>
                </c:pt>
                <c:pt idx="25">
                  <c:v>183</c:v>
                </c:pt>
                <c:pt idx="26">
                  <c:v>182</c:v>
                </c:pt>
              </c:numCache>
            </c:numRef>
          </c:xVal>
          <c:yVal>
            <c:numRef>
              <c:f>Hoja5!$B$14:$AB$14</c:f>
              <c:numCache>
                <c:formatCode>General</c:formatCode>
                <c:ptCount val="27"/>
                <c:pt idx="0">
                  <c:v>-34.390846212321101</c:v>
                </c:pt>
                <c:pt idx="3">
                  <c:v>-34.390425893891972</c:v>
                </c:pt>
                <c:pt idx="6">
                  <c:v>-33.673026915285249</c:v>
                </c:pt>
                <c:pt idx="7">
                  <c:v>-34.545938168267156</c:v>
                </c:pt>
                <c:pt idx="8">
                  <c:v>-33.985153092577136</c:v>
                </c:pt>
                <c:pt idx="9">
                  <c:v>-34.292278013853206</c:v>
                </c:pt>
                <c:pt idx="10">
                  <c:v>-33.737794865633091</c:v>
                </c:pt>
                <c:pt idx="11">
                  <c:v>-34.846213701367319</c:v>
                </c:pt>
                <c:pt idx="13">
                  <c:v>-34.667459665936903</c:v>
                </c:pt>
                <c:pt idx="14">
                  <c:v>-38.856613577929437</c:v>
                </c:pt>
                <c:pt idx="15">
                  <c:v>-33.975273528370693</c:v>
                </c:pt>
                <c:pt idx="17">
                  <c:v>-34.495094552208933</c:v>
                </c:pt>
                <c:pt idx="18">
                  <c:v>-34.79715649655229</c:v>
                </c:pt>
                <c:pt idx="19">
                  <c:v>-34.603446776641803</c:v>
                </c:pt>
                <c:pt idx="20">
                  <c:v>-34.631536420342137</c:v>
                </c:pt>
                <c:pt idx="21">
                  <c:v>-33.726009413626485</c:v>
                </c:pt>
                <c:pt idx="22">
                  <c:v>-32.875739110267233</c:v>
                </c:pt>
                <c:pt idx="24">
                  <c:v>-32.724417413504668</c:v>
                </c:pt>
                <c:pt idx="26">
                  <c:v>-33.917859078776971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2D9-4B24-AA4A-0D455DB4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373775"/>
        <c:axId val="217375439"/>
      </c:scatterChart>
      <c:valAx>
        <c:axId val="217373775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75439"/>
        <c:crosses val="autoZero"/>
        <c:crossBetween val="midCat"/>
      </c:valAx>
      <c:valAx>
        <c:axId val="217375439"/>
        <c:scaling>
          <c:orientation val="minMax"/>
          <c:max val="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7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283028</xdr:colOff>
      <xdr:row>21</xdr:row>
      <xdr:rowOff>152401</xdr:rowOff>
    </xdr:from>
    <xdr:to>
      <xdr:col>32</xdr:col>
      <xdr:colOff>587828</xdr:colOff>
      <xdr:row>36</xdr:row>
      <xdr:rowOff>119744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6E3153-560F-41F7-8769-5264C9C2C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152400</xdr:colOff>
      <xdr:row>18</xdr:row>
      <xdr:rowOff>21772</xdr:rowOff>
    </xdr:from>
    <xdr:to>
      <xdr:col>35</xdr:col>
      <xdr:colOff>457200</xdr:colOff>
      <xdr:row>32</xdr:row>
      <xdr:rowOff>174172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84FDDC-C720-4CDE-A9B1-9A4721D1E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279073</xdr:colOff>
      <xdr:row>40</xdr:row>
      <xdr:rowOff>121898</xdr:rowOff>
    </xdr:from>
    <xdr:to>
      <xdr:col>24</xdr:col>
      <xdr:colOff>0</xdr:colOff>
      <xdr:row>61</xdr:row>
      <xdr:rowOff>21771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95CF8FF-087E-4647-B9D6-4D91FE418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63277</xdr:colOff>
      <xdr:row>32</xdr:row>
      <xdr:rowOff>72883</xdr:rowOff>
    </xdr:from>
    <xdr:to>
      <xdr:col>14</xdr:col>
      <xdr:colOff>0</xdr:colOff>
      <xdr:row>47</xdr:row>
      <xdr:rowOff>121721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DA4C343-D69E-401B-9294-1DA1573A0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54428</xdr:colOff>
      <xdr:row>51</xdr:row>
      <xdr:rowOff>97972</xdr:rowOff>
    </xdr:from>
    <xdr:to>
      <xdr:col>10</xdr:col>
      <xdr:colOff>380998</xdr:colOff>
      <xdr:row>76</xdr:row>
      <xdr:rowOff>174700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B7CF52-B7A0-4D8E-907A-4FB93154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02428" y="9535886"/>
          <a:ext cx="3374570" cy="4703157"/>
        </a:xfrm>
        <a:prstGeom prst="rect">
          <a:avLst/>
        </a:prstGeom>
      </xdr:spPr>
    </xdr:pic>
    <xdr:clientData/>
  </xdr:twoCellAnchor>
  <xdr:twoCellAnchor>
    <xdr:from>
      <xdr:col>14</xdr:col>
      <xdr:colOff>500742</xdr:colOff>
      <xdr:row>32</xdr:row>
      <xdr:rowOff>81641</xdr:rowOff>
    </xdr:from>
    <xdr:to>
      <xdr:col>21</xdr:col>
      <xdr:colOff>108856</xdr:colOff>
      <xdr:row>47</xdr:row>
      <xdr:rowOff>48984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137289-C34F-4C5C-956A-B826B743F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413656</xdr:colOff>
      <xdr:row>31</xdr:row>
      <xdr:rowOff>92528</xdr:rowOff>
    </xdr:from>
    <xdr:to>
      <xdr:col>10</xdr:col>
      <xdr:colOff>108856</xdr:colOff>
      <xdr:row>46</xdr:row>
      <xdr:rowOff>59870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04DC6F-6717-4927-A7F8-A047D2E0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569026</xdr:colOff>
      <xdr:row>44</xdr:row>
      <xdr:rowOff>57891</xdr:rowOff>
    </xdr:from>
    <xdr:to>
      <xdr:col>22</xdr:col>
      <xdr:colOff>177140</xdr:colOff>
      <xdr:row>59</xdr:row>
      <xdr:rowOff>30182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721BCA-4FE7-4B60-B453-13D67675F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554182</xdr:colOff>
      <xdr:row>37</xdr:row>
      <xdr:rowOff>120734</xdr:rowOff>
    </xdr:from>
    <xdr:to>
      <xdr:col>9</xdr:col>
      <xdr:colOff>129639</xdr:colOff>
      <xdr:row>56</xdr:row>
      <xdr:rowOff>11382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58A1D80-1CF3-4372-BE53-380D647C9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352425</xdr:colOff>
      <xdr:row>28</xdr:row>
      <xdr:rowOff>38100</xdr:rowOff>
    </xdr:from>
    <xdr:to>
      <xdr:col>26</xdr:col>
      <xdr:colOff>123825</xdr:colOff>
      <xdr:row>42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227829-548C-4A61-B349-72305D22C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680084</xdr:colOff>
      <xdr:row>30</xdr:row>
      <xdr:rowOff>30480</xdr:rowOff>
    </xdr:from>
    <xdr:to>
      <xdr:col>22</xdr:col>
      <xdr:colOff>335279</xdr:colOff>
      <xdr:row>44</xdr:row>
      <xdr:rowOff>106680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89C12F3-EDA0-4139-9E1F-57574974E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144780</xdr:colOff>
      <xdr:row>14</xdr:row>
      <xdr:rowOff>30480</xdr:rowOff>
    </xdr:from>
    <xdr:to>
      <xdr:col>17</xdr:col>
      <xdr:colOff>754380</xdr:colOff>
      <xdr:row>29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66CB91-5BE2-4216-9965-4FF453A5C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358140</xdr:colOff>
      <xdr:row>17</xdr:row>
      <xdr:rowOff>110490</xdr:rowOff>
    </xdr:from>
    <xdr:to>
      <xdr:col>10</xdr:col>
      <xdr:colOff>175260</xdr:colOff>
      <xdr:row>32</xdr:row>
      <xdr:rowOff>110490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87EA3F-490B-4334-A8FF-25C33BA59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381000</xdr:colOff>
      <xdr:row>18</xdr:row>
      <xdr:rowOff>69273</xdr:rowOff>
    </xdr:from>
    <xdr:to>
      <xdr:col>73</xdr:col>
      <xdr:colOff>214746</xdr:colOff>
      <xdr:row>33</xdr:row>
      <xdr:rowOff>110836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F877D6-AC5E-44AE-8D60-E2A44B20D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762000</xdr:colOff>
      <xdr:row>18</xdr:row>
      <xdr:rowOff>69273</xdr:rowOff>
    </xdr:from>
    <xdr:to>
      <xdr:col>65</xdr:col>
      <xdr:colOff>214745</xdr:colOff>
      <xdr:row>48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2D378A-68E0-4A34-B675-4D5CEC054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464127</xdr:colOff>
      <xdr:row>31</xdr:row>
      <xdr:rowOff>69273</xdr:rowOff>
    </xdr:from>
    <xdr:to>
      <xdr:col>52</xdr:col>
      <xdr:colOff>297872</xdr:colOff>
      <xdr:row>46</xdr:row>
      <xdr:rowOff>110836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A93C671-A290-4CEE-8204-C3B193471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381000</xdr:colOff>
      <xdr:row>18</xdr:row>
      <xdr:rowOff>69273</xdr:rowOff>
    </xdr:from>
    <xdr:to>
      <xdr:col>20</xdr:col>
      <xdr:colOff>214745</xdr:colOff>
      <xdr:row>33</xdr:row>
      <xdr:rowOff>110836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66AD36E-22F6-45FF-AF71-94E2A86AD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284017</xdr:colOff>
      <xdr:row>18</xdr:row>
      <xdr:rowOff>69273</xdr:rowOff>
    </xdr:from>
    <xdr:to>
      <xdr:col>23</xdr:col>
      <xdr:colOff>401781</xdr:colOff>
      <xdr:row>33</xdr:row>
      <xdr:rowOff>110836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204A943-2741-4B5C-9205-900113251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782781</xdr:colOff>
      <xdr:row>35</xdr:row>
      <xdr:rowOff>41563</xdr:rowOff>
    </xdr:from>
    <xdr:to>
      <xdr:col>38</xdr:col>
      <xdr:colOff>616527</xdr:colOff>
      <xdr:row>50</xdr:row>
      <xdr:rowOff>83127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E29159B-7C3D-4CD2-BAD7-C3D72CCF8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21771</xdr:colOff>
      <xdr:row>13</xdr:row>
      <xdr:rowOff>43543</xdr:rowOff>
    </xdr:from>
    <xdr:to>
      <xdr:col>29</xdr:col>
      <xdr:colOff>533400</xdr:colOff>
      <xdr:row>28</xdr:row>
      <xdr:rowOff>10886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87ECC1-7CCE-424C-A54D-1F36FA7C4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391886</xdr:colOff>
      <xdr:row>13</xdr:row>
      <xdr:rowOff>43543</xdr:rowOff>
    </xdr:from>
    <xdr:to>
      <xdr:col>25</xdr:col>
      <xdr:colOff>533400</xdr:colOff>
      <xdr:row>28</xdr:row>
      <xdr:rowOff>10886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C18FDC-D79D-4AE1-9953-656B7386A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751114</xdr:colOff>
      <xdr:row>13</xdr:row>
      <xdr:rowOff>43543</xdr:rowOff>
    </xdr:from>
    <xdr:to>
      <xdr:col>25</xdr:col>
      <xdr:colOff>533400</xdr:colOff>
      <xdr:row>28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5614FC-E148-4DAF-9BFD-F14817E59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179070</xdr:rowOff>
    </xdr:from>
    <xdr:to>
      <xdr:col>10</xdr:col>
      <xdr:colOff>91440</xdr:colOff>
      <xdr:row>20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025E17-8FF3-43BD-ADF8-F7BB448B5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274320</xdr:colOff>
      <xdr:row>5</xdr:row>
      <xdr:rowOff>179070</xdr:rowOff>
    </xdr:from>
    <xdr:to>
      <xdr:col>10</xdr:col>
      <xdr:colOff>91440</xdr:colOff>
      <xdr:row>20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7AE2AF-EAB3-408E-B271-CA11F11FE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5</xdr:row>
      <xdr:rowOff>41910</xdr:rowOff>
    </xdr:from>
    <xdr:to>
      <xdr:col>13</xdr:col>
      <xdr:colOff>594360</xdr:colOff>
      <xdr:row>34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9036E7-5C14-45DC-9449-2877DBF86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onlinelibrary.wiley.com/doi/full/10.1002/jqs.2943" TargetMode="External"/><Relationship Id="rId1" Type="http://schemas.openxmlformats.org/officeDocument/2006/relationships/hyperlink" Target="https://onlinelibrary.wiley.com/doi/full/10.1002/jqs.29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0166516216306048?casa_token=C8VY0c73-XcAAAAA:znM19PUkw4ED5r-DhEK7vieD-Yog_uBt6VZrAVOlOFHUCMRA9Me5erXb06f4Plqhlr3GsOt2qXTc" TargetMode="External"/><Relationship Id="rId1" Type="http://schemas.openxmlformats.org/officeDocument/2006/relationships/hyperlink" Target="https://www.sciencedirect.com/science/article/pii/S0079661121001713?casa_token=aqFNP4wsrxUAAAAA:05nRL2RrL0rUn2M0rbO75_XTEoeBW9hWbtmLEPBMONBC3um_qYQa0k1KKTr2eMR5nl_nVB-d_G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63"/>
  <sheetViews>
    <sheetView topLeftCell="V1" zoomScale="70" zoomScaleNormal="70" workbookViewId="0">
      <selection activeCell="AL33" sqref="AL33"/>
    </sheetView>
  </sheetViews>
  <sheetFormatPr baseColWidth="10" defaultColWidth="8.88671875" defaultRowHeight="14.4" x14ac:dyDescent="0.3"/>
  <cols>
    <col min="2" max="2" width="8.88671875" style="1"/>
    <col min="6" max="9" width="8.88671875" style="11"/>
    <col min="18" max="18" width="8.88671875" style="11"/>
    <col min="19" max="19" width="14" style="11" bestFit="1" customWidth="1"/>
    <col min="20" max="20" width="14" style="11" customWidth="1"/>
    <col min="21" max="24" width="8.88671875" style="11"/>
  </cols>
  <sheetData>
    <row r="1" spans="1:96" ht="17.399999999999999" x14ac:dyDescent="0.35">
      <c r="B1" s="1" t="s">
        <v>73</v>
      </c>
      <c r="D1" t="s">
        <v>0</v>
      </c>
      <c r="E1" t="s">
        <v>1</v>
      </c>
      <c r="F1" s="11" t="s">
        <v>2</v>
      </c>
      <c r="G1" s="11" t="s">
        <v>96</v>
      </c>
      <c r="H1" s="11" t="s">
        <v>97</v>
      </c>
      <c r="I1" s="11" t="s">
        <v>98</v>
      </c>
      <c r="J1" t="s">
        <v>3</v>
      </c>
      <c r="K1" s="1" t="s">
        <v>4</v>
      </c>
      <c r="L1" s="2" t="s">
        <v>5</v>
      </c>
      <c r="M1" s="3" t="s">
        <v>6</v>
      </c>
      <c r="N1" t="s">
        <v>7</v>
      </c>
      <c r="O1" s="6" t="s">
        <v>46</v>
      </c>
      <c r="P1" s="6" t="s">
        <v>107</v>
      </c>
      <c r="Q1" s="6" t="s">
        <v>110</v>
      </c>
      <c r="R1" s="12" t="s">
        <v>70</v>
      </c>
      <c r="S1" s="12" t="s">
        <v>114</v>
      </c>
      <c r="T1" s="12" t="s">
        <v>111</v>
      </c>
      <c r="U1" s="12" t="s">
        <v>74</v>
      </c>
      <c r="V1" s="12" t="s">
        <v>108</v>
      </c>
      <c r="W1" s="12" t="s">
        <v>106</v>
      </c>
      <c r="X1" s="12" t="s">
        <v>76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9" t="s">
        <v>58</v>
      </c>
      <c r="AK1" s="9" t="s">
        <v>59</v>
      </c>
      <c r="AL1" s="9" t="s">
        <v>60</v>
      </c>
      <c r="AM1" s="9" t="s">
        <v>61</v>
      </c>
      <c r="AN1" s="9" t="s">
        <v>62</v>
      </c>
      <c r="AO1" s="9" t="s">
        <v>63</v>
      </c>
      <c r="AP1" s="9" t="s">
        <v>64</v>
      </c>
      <c r="AQ1" s="9" t="s">
        <v>65</v>
      </c>
      <c r="AR1" s="9" t="s">
        <v>66</v>
      </c>
      <c r="AS1" s="9" t="s">
        <v>67</v>
      </c>
      <c r="AT1" s="9" t="s">
        <v>68</v>
      </c>
      <c r="AU1" s="6" t="s">
        <v>46</v>
      </c>
      <c r="AW1" s="20" t="s">
        <v>179</v>
      </c>
      <c r="AX1" s="20" t="s">
        <v>180</v>
      </c>
      <c r="AY1" s="20" t="s">
        <v>181</v>
      </c>
      <c r="AZ1" s="20" t="s">
        <v>182</v>
      </c>
      <c r="BA1" s="20" t="s">
        <v>183</v>
      </c>
      <c r="BB1" s="20" t="s">
        <v>184</v>
      </c>
      <c r="BC1" s="20" t="s">
        <v>185</v>
      </c>
      <c r="BD1" s="20" t="s">
        <v>186</v>
      </c>
      <c r="BE1" s="20" t="s">
        <v>187</v>
      </c>
      <c r="BF1" s="20" t="s">
        <v>188</v>
      </c>
      <c r="BG1" s="20" t="s">
        <v>189</v>
      </c>
      <c r="BH1" s="20" t="s">
        <v>190</v>
      </c>
      <c r="BI1" s="20" t="s">
        <v>191</v>
      </c>
      <c r="BJ1" s="20" t="s">
        <v>192</v>
      </c>
      <c r="BK1" s="20" t="s">
        <v>193</v>
      </c>
      <c r="BL1" s="20" t="s">
        <v>194</v>
      </c>
      <c r="BM1" s="20" t="s">
        <v>195</v>
      </c>
      <c r="BN1" s="20" t="s">
        <v>196</v>
      </c>
      <c r="BO1" s="20" t="s">
        <v>197</v>
      </c>
      <c r="BP1" s="20" t="s">
        <v>198</v>
      </c>
      <c r="BQ1" s="20" t="s">
        <v>199</v>
      </c>
      <c r="BR1" s="20" t="s">
        <v>200</v>
      </c>
      <c r="BS1" s="20" t="s">
        <v>178</v>
      </c>
      <c r="BT1" s="20" t="s">
        <v>201</v>
      </c>
      <c r="BU1" s="20" t="s">
        <v>79</v>
      </c>
      <c r="BV1" s="20" t="s">
        <v>202</v>
      </c>
      <c r="BW1" s="20" t="s">
        <v>80</v>
      </c>
      <c r="BX1" s="20" t="s">
        <v>203</v>
      </c>
      <c r="BY1" s="20" t="s">
        <v>81</v>
      </c>
      <c r="BZ1" s="20" t="s">
        <v>204</v>
      </c>
      <c r="CA1" s="20" t="s">
        <v>82</v>
      </c>
      <c r="CB1" s="20" t="s">
        <v>205</v>
      </c>
      <c r="CC1" s="20" t="s">
        <v>83</v>
      </c>
      <c r="CD1" s="20" t="s">
        <v>206</v>
      </c>
      <c r="CE1" s="20" t="s">
        <v>84</v>
      </c>
      <c r="CF1" s="20" t="s">
        <v>207</v>
      </c>
      <c r="CG1" s="20" t="s">
        <v>85</v>
      </c>
      <c r="CH1" s="20" t="s">
        <v>208</v>
      </c>
      <c r="CI1" s="20" t="s">
        <v>86</v>
      </c>
      <c r="CJ1" s="20" t="s">
        <v>209</v>
      </c>
      <c r="CK1" s="20" t="s">
        <v>87</v>
      </c>
      <c r="CL1" s="20" t="s">
        <v>210</v>
      </c>
      <c r="CM1" s="20" t="s">
        <v>88</v>
      </c>
      <c r="CN1" s="20" t="s">
        <v>211</v>
      </c>
      <c r="CO1" s="20" t="s">
        <v>89</v>
      </c>
      <c r="CP1" s="20" t="s">
        <v>212</v>
      </c>
      <c r="CQ1" s="20" t="s">
        <v>90</v>
      </c>
      <c r="CR1" s="20" t="s">
        <v>213</v>
      </c>
    </row>
    <row r="2" spans="1:96" x14ac:dyDescent="0.3">
      <c r="A2">
        <v>225</v>
      </c>
      <c r="B2" s="1">
        <v>24918</v>
      </c>
      <c r="C2">
        <v>238</v>
      </c>
      <c r="D2" t="s">
        <v>8</v>
      </c>
      <c r="E2" t="s">
        <v>9</v>
      </c>
      <c r="F2" s="11">
        <v>225</v>
      </c>
      <c r="G2">
        <v>24774</v>
      </c>
      <c r="H2">
        <v>23967</v>
      </c>
      <c r="I2">
        <v>25458</v>
      </c>
      <c r="J2" t="s">
        <v>10</v>
      </c>
      <c r="K2" s="1" t="s">
        <v>11</v>
      </c>
      <c r="M2" s="4" t="s">
        <v>12</v>
      </c>
      <c r="N2">
        <v>5069</v>
      </c>
      <c r="O2">
        <v>5069</v>
      </c>
      <c r="P2">
        <f>AG2/(AK2+AO2)</f>
        <v>0.80227500836400123</v>
      </c>
      <c r="Q2">
        <f>(AK2+AM2+AO2+AQ2)/SUM(Y2:AT2)</f>
        <v>0.35109577662769142</v>
      </c>
      <c r="R2" s="11">
        <f>0.5*(((AI2+AK2+AM2+AO2+AQ2)/(AH2+AJ2+AL2+AN2+AP2))+((AI2+AK2+AM2+AO2+AQ2)/(AJ2+AL2+AN2+AP2+AR2)))</f>
        <v>3.0083277330687528</v>
      </c>
      <c r="S2" s="11">
        <f>((27*AK2)+(29*AM2)+(31*AO2)+(33*AQ2)+(35*AS2))/(AK2+AM2+AO2+AQ2+AS2)</f>
        <v>29.844183419923198</v>
      </c>
      <c r="T2" s="11">
        <f>((AC2*19)+(AE2*21)+(AG2*23)+(AI2*25)+(27*AK2)+(29*AM2)+(31*AO2)+(33*AQ2))/(AC2+AE2+AG2+AI2+AK2+AM2+AO2+AQ2)</f>
        <v>26.596427453718192</v>
      </c>
      <c r="U2" s="11">
        <f>AG2/(AG2+AO2+AQ2+AS2)</f>
        <v>0.47569926601864715</v>
      </c>
      <c r="V2" s="11">
        <f>((AG2+AI2)/(AG2+AI2+AM2+AO2))</f>
        <v>0.52572002215452784</v>
      </c>
      <c r="W2" s="11">
        <f>SUM(Y2:AT2)</f>
        <v>3.4626106194690283</v>
      </c>
      <c r="X2" s="11">
        <f>AO2/AM2</f>
        <v>1.0590622182146077</v>
      </c>
      <c r="Y2">
        <v>0</v>
      </c>
      <c r="Z2">
        <v>9.0707964601769928E-3</v>
      </c>
      <c r="AA2">
        <v>1.4657079646017701E-2</v>
      </c>
      <c r="AB2">
        <v>1.9579646017699119E-2</v>
      </c>
      <c r="AC2">
        <v>7.4391592920353994E-2</v>
      </c>
      <c r="AD2">
        <v>3.4789823008849564E-2</v>
      </c>
      <c r="AE2">
        <v>0.16742256637168143</v>
      </c>
      <c r="AF2">
        <v>0.30901548672566376</v>
      </c>
      <c r="AG2">
        <v>0.53053097345132749</v>
      </c>
      <c r="AH2">
        <v>0.38921460176991157</v>
      </c>
      <c r="AI2">
        <v>0.30945796460177</v>
      </c>
      <c r="AJ2">
        <v>0.26194690265486725</v>
      </c>
      <c r="AK2">
        <v>0.27151548672566378</v>
      </c>
      <c r="AL2">
        <v>1.4435840707964604E-2</v>
      </c>
      <c r="AM2">
        <v>0.36803097345132751</v>
      </c>
      <c r="AN2">
        <v>6.1338495575221245E-2</v>
      </c>
      <c r="AO2">
        <v>0.38976769911504433</v>
      </c>
      <c r="AP2">
        <v>3.3683628318584076E-2</v>
      </c>
      <c r="AQ2">
        <v>0.18639380530973457</v>
      </c>
      <c r="AR2">
        <v>8.7942477876106224E-3</v>
      </c>
      <c r="AS2">
        <v>8.573008849557525E-3</v>
      </c>
      <c r="AT2">
        <v>0</v>
      </c>
      <c r="AU2">
        <v>5069</v>
      </c>
      <c r="AV2" s="21">
        <v>5069</v>
      </c>
      <c r="AW2" s="22">
        <v>-214.97700706702042</v>
      </c>
      <c r="AX2" s="22">
        <v>1.6650205837119523</v>
      </c>
      <c r="AY2" s="22">
        <v>-185.78411044399161</v>
      </c>
      <c r="AZ2" s="22">
        <v>0.52821757231373612</v>
      </c>
      <c r="BA2" s="22">
        <v>-187.37383081678553</v>
      </c>
      <c r="BB2" s="22">
        <v>0.25155522125550295</v>
      </c>
      <c r="BC2" s="22">
        <v>-184.88745104527101</v>
      </c>
      <c r="BD2" s="22">
        <v>1.3705722814584618</v>
      </c>
      <c r="BE2" s="22">
        <v>-188.0000719848268</v>
      </c>
      <c r="BF2" s="22">
        <v>4.4589218531052781</v>
      </c>
      <c r="BG2" s="22">
        <v>-191.07480305343898</v>
      </c>
      <c r="BH2" s="22">
        <v>1.8880900269706737</v>
      </c>
      <c r="BI2" s="22">
        <v>-197.61259690389502</v>
      </c>
      <c r="BJ2" s="22">
        <v>3.7828085938624314</v>
      </c>
      <c r="BK2" s="22">
        <v>-203.18369752623363</v>
      </c>
      <c r="BL2" s="22">
        <v>1.0641905414806674</v>
      </c>
      <c r="BM2" s="22">
        <v>-204.6104137297562</v>
      </c>
      <c r="BN2" s="22">
        <v>0.28024421841092689</v>
      </c>
      <c r="BO2" s="22">
        <v>-188.42251124778045</v>
      </c>
      <c r="BP2" s="22">
        <v>4.3808320700418459</v>
      </c>
      <c r="BQ2" s="22">
        <v>-191.47146277750875</v>
      </c>
      <c r="BR2" s="22">
        <v>2.4467261457861289</v>
      </c>
      <c r="BS2" s="22">
        <v>-32.706911862573108</v>
      </c>
      <c r="BT2" s="22">
        <v>1.9061170033561643</v>
      </c>
      <c r="BU2" s="22">
        <v>-42.067204447389344</v>
      </c>
      <c r="BV2" s="22">
        <v>0.74975286150126252</v>
      </c>
      <c r="BW2" s="22">
        <v>-31.26013397320628</v>
      </c>
      <c r="BX2" s="22">
        <v>7.2775118509918219E-2</v>
      </c>
      <c r="BY2" s="22">
        <v>-30.704770209768814</v>
      </c>
      <c r="BZ2" s="22">
        <v>1.0750324864433565E-2</v>
      </c>
      <c r="CA2" s="22">
        <v>-31.207487041152262</v>
      </c>
      <c r="CB2" s="22">
        <v>6.5958406545599285E-2</v>
      </c>
      <c r="CC2" s="22">
        <v>-30.454184180180086</v>
      </c>
      <c r="CD2" s="22">
        <v>6.1312045839706578E-2</v>
      </c>
      <c r="CE2" s="22">
        <v>-31.077016631381291</v>
      </c>
      <c r="CF2" s="22">
        <v>5.214290857714126E-2</v>
      </c>
      <c r="CG2" s="22">
        <v>-30.534491627779985</v>
      </c>
      <c r="CH2" s="22">
        <v>0.49889285729084848</v>
      </c>
      <c r="CI2" s="22">
        <v>-32.019327287663913</v>
      </c>
      <c r="CJ2" s="22">
        <v>2.1706249933099844E-2</v>
      </c>
      <c r="CK2" s="22">
        <v>-31.604565312929157</v>
      </c>
      <c r="CL2" s="22">
        <v>0.29830441071449604</v>
      </c>
      <c r="CM2" s="22">
        <v>-33.21556357910471</v>
      </c>
      <c r="CN2" s="22">
        <v>0.1827213731547509</v>
      </c>
      <c r="CO2" s="22">
        <v>-32.497071466565941</v>
      </c>
      <c r="CP2" s="22">
        <v>0.31197897411883613</v>
      </c>
      <c r="CQ2" s="22">
        <v>-34.390846212321101</v>
      </c>
      <c r="CR2" s="22">
        <v>0.23785317017239976</v>
      </c>
    </row>
    <row r="3" spans="1:96" x14ac:dyDescent="0.3">
      <c r="D3" s="5" t="s">
        <v>8</v>
      </c>
      <c r="E3" s="5" t="s">
        <v>13</v>
      </c>
      <c r="F3" s="11">
        <v>224</v>
      </c>
      <c r="G3">
        <v>24185</v>
      </c>
      <c r="H3">
        <v>23204</v>
      </c>
      <c r="I3">
        <v>25085</v>
      </c>
      <c r="J3" t="s">
        <v>10</v>
      </c>
      <c r="K3" t="s">
        <v>14</v>
      </c>
      <c r="M3" s="5" t="s">
        <v>11</v>
      </c>
      <c r="N3">
        <v>4929</v>
      </c>
      <c r="O3" s="3">
        <v>4929</v>
      </c>
      <c r="P3">
        <f>AG3/(AK3+AO3)</f>
        <v>2.1222396186906596</v>
      </c>
      <c r="Q3">
        <f t="shared" ref="Q3:Q28" si="0">(AK3+AM3+AO3+AQ3)/SUM(Y3:AT3)</f>
        <v>0.14566533838207443</v>
      </c>
      <c r="R3" s="11">
        <f>0.5*(((AI3+AK3+AM3+AO3+AQ3)/(AH3+AJ3+AL3+AN3+AP3))+((AI3+AK3+AM3+AO3+AQ3)/(AJ3+AL3+AN3+AP3+AR3)))</f>
        <v>2.5042237708469921</v>
      </c>
      <c r="S3" s="11">
        <f>((27*AK3)+(29*AM3)+(31*AO3)+(33*AQ3)+(35*AS3))/(AK3+AM3+AO3+AQ3+AS3)</f>
        <v>29.879500148765249</v>
      </c>
      <c r="T3" s="11">
        <f t="shared" ref="T3:T28" si="1">((AC3*19)+(AE3*21)+(AG3*23)+(AI3*25)+(27*AK3)+(29*AM3)+(31*AO3)+(33*AQ3))/(AC3+AE3+AG3+AI3+AK3+AM3+AO3+AQ3)</f>
        <v>24.133952163252168</v>
      </c>
      <c r="U3" s="11">
        <f>AG3/(AG3+AO3+AQ3+AS3)</f>
        <v>0.69891503153339174</v>
      </c>
      <c r="V3" s="11">
        <f t="shared" ref="V3:V28" si="2">((AG3+AI3)/(AG3+AI3+AM3+AO3))</f>
        <v>0.68581975057917788</v>
      </c>
      <c r="W3" s="11">
        <f>SUM(Y3:AT3)</f>
        <v>1.2422530047131117</v>
      </c>
      <c r="X3" s="11">
        <f>AO3/AM3</f>
        <v>1.0498154981549817</v>
      </c>
      <c r="Y3">
        <v>0</v>
      </c>
      <c r="Z3">
        <v>3.7584955611940554E-3</v>
      </c>
      <c r="AA3">
        <v>6.458259978389785E-3</v>
      </c>
      <c r="AB3">
        <v>1.1857788812781244E-2</v>
      </c>
      <c r="AC3">
        <v>4.7695838037124565E-2</v>
      </c>
      <c r="AD3">
        <v>5.9077197835106558E-2</v>
      </c>
      <c r="AE3">
        <v>0.19569184644463278</v>
      </c>
      <c r="AF3">
        <v>0.27026439853136069</v>
      </c>
      <c r="AG3">
        <v>0.20383888418171153</v>
      </c>
      <c r="AH3">
        <v>9.5483282278563536E-2</v>
      </c>
      <c r="AI3">
        <v>5.730083208412088E-2</v>
      </c>
      <c r="AJ3">
        <v>3.4652067175041823E-2</v>
      </c>
      <c r="AK3">
        <v>3.4780056521822061E-2</v>
      </c>
      <c r="AL3">
        <v>1.9597431229014289E-2</v>
      </c>
      <c r="AM3">
        <v>5.8361580912778814E-2</v>
      </c>
      <c r="AN3">
        <v>8.1835427110169556E-3</v>
      </c>
      <c r="AO3">
        <v>6.1268892139061157E-2</v>
      </c>
      <c r="AP3">
        <v>4.79167961368756E-3</v>
      </c>
      <c r="AQ3">
        <v>2.6542674714022101E-2</v>
      </c>
      <c r="AR3">
        <v>0</v>
      </c>
      <c r="AS3">
        <v>0</v>
      </c>
      <c r="AT3">
        <v>4.264825595168141E-2</v>
      </c>
      <c r="AU3" s="3">
        <v>4929</v>
      </c>
    </row>
    <row r="4" spans="1:96" x14ac:dyDescent="0.3">
      <c r="D4" t="s">
        <v>8</v>
      </c>
      <c r="E4" t="s">
        <v>15</v>
      </c>
      <c r="F4" s="11">
        <v>223</v>
      </c>
      <c r="G4">
        <v>23595</v>
      </c>
      <c r="H4">
        <v>22207</v>
      </c>
      <c r="I4">
        <v>24951</v>
      </c>
      <c r="J4" t="s">
        <v>10</v>
      </c>
      <c r="K4" t="s">
        <v>14</v>
      </c>
      <c r="M4" t="s">
        <v>12</v>
      </c>
      <c r="N4" t="s">
        <v>11</v>
      </c>
    </row>
    <row r="5" spans="1:96" x14ac:dyDescent="0.3">
      <c r="D5" t="s">
        <v>8</v>
      </c>
      <c r="E5" t="s">
        <v>16</v>
      </c>
      <c r="F5" s="11">
        <v>221</v>
      </c>
      <c r="G5">
        <v>22433</v>
      </c>
      <c r="H5">
        <v>20958</v>
      </c>
      <c r="I5">
        <v>23818</v>
      </c>
      <c r="J5" t="s">
        <v>10</v>
      </c>
      <c r="K5" t="s">
        <v>14</v>
      </c>
      <c r="M5" t="s">
        <v>12</v>
      </c>
      <c r="N5">
        <v>5068</v>
      </c>
      <c r="O5">
        <v>5068</v>
      </c>
      <c r="P5">
        <f>AG5/(AK5+AO5)</f>
        <v>2.9924242424242422</v>
      </c>
      <c r="Q5">
        <f t="shared" si="0"/>
        <v>0.13187989032301209</v>
      </c>
      <c r="R5" s="11">
        <f>0.5*(((AI5+AK5+AM5+AO5+AQ5)/(AH5+AJ5+AL5+AN5+AP5))+((AI5+AK5+AM5+AO5+AQ5)/(AJ5+AL5+AN5+AP5+AR5)))</f>
        <v>4.088226047091239</v>
      </c>
      <c r="S5" s="11">
        <f>((27*AK5)+(29*AM5)+(31*AO5)+(33*AQ5)+(35*AS5))/(AK5+AM5+AO5+AQ5+AS5)</f>
        <v>30.091277890466529</v>
      </c>
      <c r="T5" s="11">
        <f t="shared" si="1"/>
        <v>23.872744207707537</v>
      </c>
      <c r="U5" s="11">
        <f>AG5/(AG5+AO5+AQ5+AS5)</f>
        <v>0.74775201135825842</v>
      </c>
      <c r="V5" s="11">
        <f t="shared" si="2"/>
        <v>0.74135876042908222</v>
      </c>
      <c r="W5" s="11">
        <f>SUM(Y5:AT5)</f>
        <v>0.82704646017699135</v>
      </c>
      <c r="X5" s="11">
        <f>AO5/AM5</f>
        <v>1.260416666666667</v>
      </c>
      <c r="Y5">
        <v>0</v>
      </c>
      <c r="Z5">
        <v>3.3738938053097349E-3</v>
      </c>
      <c r="AA5">
        <v>6.1946902654867273E-3</v>
      </c>
      <c r="AB5">
        <v>1.9247787610619474E-2</v>
      </c>
      <c r="AC5">
        <v>5.1493362831858416E-2</v>
      </c>
      <c r="AD5">
        <v>3.584070796460178E-2</v>
      </c>
      <c r="AE5">
        <v>0.10807522123893806</v>
      </c>
      <c r="AF5">
        <v>0.18357300884955755</v>
      </c>
      <c r="AG5">
        <v>0.17477876106194692</v>
      </c>
      <c r="AH5">
        <v>8.3130530973451341E-2</v>
      </c>
      <c r="AI5">
        <v>3.1637168141592918E-2</v>
      </c>
      <c r="AJ5">
        <v>1.4712389380530976E-2</v>
      </c>
      <c r="AK5">
        <v>1.8252212389380535E-2</v>
      </c>
      <c r="AL5">
        <v>8.2964601769911514E-4</v>
      </c>
      <c r="AM5">
        <v>3.1858407079646017E-2</v>
      </c>
      <c r="AN5">
        <v>3.1526548672566371E-3</v>
      </c>
      <c r="AO5">
        <v>4.0154867256637174E-2</v>
      </c>
      <c r="AP5">
        <v>1.9358407079646017E-3</v>
      </c>
      <c r="AQ5">
        <v>1.8805309734513276E-2</v>
      </c>
      <c r="AR5">
        <v>0</v>
      </c>
      <c r="AS5">
        <v>0</v>
      </c>
      <c r="AT5">
        <v>0</v>
      </c>
      <c r="AU5">
        <v>5068</v>
      </c>
      <c r="AV5" s="21">
        <v>5068</v>
      </c>
      <c r="AW5" s="22">
        <v>-175.28696019000915</v>
      </c>
      <c r="AX5" s="22">
        <v>2.5399190787547368</v>
      </c>
      <c r="AY5" s="23" t="s">
        <v>77</v>
      </c>
      <c r="AZ5" s="23" t="s">
        <v>77</v>
      </c>
      <c r="BA5" s="22">
        <v>-109.72464145210459</v>
      </c>
      <c r="BB5" s="22">
        <v>1.7003818479405475</v>
      </c>
      <c r="BC5" s="23">
        <v>-114.32012742041179</v>
      </c>
      <c r="BD5" s="23">
        <v>19.424620934013777</v>
      </c>
      <c r="BE5" s="23" t="s">
        <v>77</v>
      </c>
      <c r="BF5" s="23" t="s">
        <v>77</v>
      </c>
      <c r="BG5" s="23" t="s">
        <v>77</v>
      </c>
      <c r="BH5" s="23" t="s">
        <v>77</v>
      </c>
      <c r="BI5" s="23" t="s">
        <v>77</v>
      </c>
      <c r="BJ5" s="23" t="s">
        <v>77</v>
      </c>
      <c r="BK5" s="23" t="s">
        <v>77</v>
      </c>
      <c r="BL5" s="23" t="s">
        <v>77</v>
      </c>
      <c r="BM5" s="23" t="s">
        <v>77</v>
      </c>
      <c r="BN5" s="23" t="s">
        <v>77</v>
      </c>
      <c r="BO5" s="23" t="s">
        <v>77</v>
      </c>
      <c r="BP5" s="23" t="s">
        <v>77</v>
      </c>
      <c r="BQ5" s="23" t="s">
        <v>77</v>
      </c>
      <c r="BR5" s="23" t="s">
        <v>77</v>
      </c>
      <c r="BS5" s="22">
        <v>-33.431397267846108</v>
      </c>
      <c r="BT5" s="22">
        <v>0.13921573564217932</v>
      </c>
      <c r="BU5" s="23">
        <v>-46.811000989117993</v>
      </c>
      <c r="BV5" s="23">
        <v>3.1716251085772256</v>
      </c>
      <c r="BW5" s="22">
        <v>-31.388693674095929</v>
      </c>
      <c r="BX5" s="22">
        <v>0.12722334383607203</v>
      </c>
      <c r="BY5" s="22">
        <v>-30.058523820439689</v>
      </c>
      <c r="BZ5" s="22">
        <v>0.48980772961017871</v>
      </c>
      <c r="CA5" s="22">
        <v>-31.248658257509422</v>
      </c>
      <c r="CB5" s="22">
        <v>0.14721702993918831</v>
      </c>
      <c r="CC5" s="22">
        <v>-31.539698583065757</v>
      </c>
      <c r="CD5" s="22">
        <v>2.5277920893876767E-2</v>
      </c>
      <c r="CE5" s="22">
        <v>-31.871337630749004</v>
      </c>
      <c r="CF5" s="22">
        <v>0.28703268478999489</v>
      </c>
      <c r="CG5" s="23" t="s">
        <v>77</v>
      </c>
      <c r="CH5" s="23" t="s">
        <v>77</v>
      </c>
      <c r="CI5" s="22">
        <v>-32.329409465784259</v>
      </c>
      <c r="CJ5" s="22">
        <v>0.28261567021123085</v>
      </c>
      <c r="CK5" s="23" t="s">
        <v>77</v>
      </c>
      <c r="CL5" s="23" t="s">
        <v>77</v>
      </c>
      <c r="CM5" s="22">
        <v>-33.971292892031272</v>
      </c>
      <c r="CN5" s="22">
        <v>0.24074524490319613</v>
      </c>
      <c r="CO5" s="23" t="s">
        <v>77</v>
      </c>
      <c r="CP5" s="23" t="s">
        <v>77</v>
      </c>
      <c r="CQ5" s="22">
        <v>-34.390425893891972</v>
      </c>
      <c r="CR5" s="22">
        <v>0.47961021643798563</v>
      </c>
    </row>
    <row r="6" spans="1:96" x14ac:dyDescent="0.3">
      <c r="A6">
        <v>218</v>
      </c>
      <c r="B6" s="1">
        <v>20829</v>
      </c>
      <c r="C6">
        <v>78</v>
      </c>
      <c r="D6" s="2" t="s">
        <v>8</v>
      </c>
      <c r="E6" s="2" t="s">
        <v>17</v>
      </c>
      <c r="F6" s="11">
        <v>218</v>
      </c>
      <c r="G6">
        <v>20715</v>
      </c>
      <c r="H6">
        <v>20223</v>
      </c>
      <c r="I6">
        <v>21000</v>
      </c>
      <c r="J6" t="s">
        <v>10</v>
      </c>
      <c r="K6" s="1" t="s">
        <v>11</v>
      </c>
      <c r="L6" s="2" t="s">
        <v>11</v>
      </c>
      <c r="M6" t="s">
        <v>12</v>
      </c>
      <c r="N6" t="s">
        <v>11</v>
      </c>
    </row>
    <row r="7" spans="1:96" x14ac:dyDescent="0.3">
      <c r="D7" t="s">
        <v>8</v>
      </c>
      <c r="E7" t="s">
        <v>18</v>
      </c>
      <c r="F7" s="11">
        <v>215</v>
      </c>
      <c r="G7">
        <v>18744</v>
      </c>
      <c r="H7">
        <v>17409</v>
      </c>
      <c r="I7">
        <v>20095</v>
      </c>
      <c r="J7" t="s">
        <v>10</v>
      </c>
      <c r="K7" t="s">
        <v>14</v>
      </c>
      <c r="M7" t="s">
        <v>12</v>
      </c>
      <c r="N7">
        <v>5067</v>
      </c>
      <c r="O7">
        <v>5067</v>
      </c>
      <c r="P7">
        <f t="shared" ref="P7:P17" si="3">AG7/(AK7+AO7)</f>
        <v>2.6265402843601899</v>
      </c>
      <c r="Q7">
        <f t="shared" si="0"/>
        <v>0.15021426385062747</v>
      </c>
      <c r="R7" s="11">
        <f t="shared" ref="R7:R17" si="4">0.5*(((AI7+AK7+AM7+AO7+AQ7)/(AH7+AJ7+AL7+AN7+AP7))+((AI7+AK7+AM7+AO7+AQ7)/(AJ7+AL7+AN7+AP7+AR7)))</f>
        <v>2.5940600738987838</v>
      </c>
      <c r="S7" s="11">
        <f t="shared" ref="S7:S17" si="5">((27*AK7)+(29*AM7)+(31*AO7)+(33*AQ7)+(35*AS7))/(AK7+AM7+AO7+AQ7+AS7)</f>
        <v>29.775343861436582</v>
      </c>
      <c r="T7" s="11">
        <f t="shared" si="1"/>
        <v>24.213057495969903</v>
      </c>
      <c r="U7" s="11">
        <f t="shared" ref="U7:U17" si="6">AG7/(AG7+AO7+AQ7+AS7)</f>
        <v>0.75319380266376734</v>
      </c>
      <c r="V7" s="11">
        <f t="shared" si="2"/>
        <v>0.73211963589076734</v>
      </c>
      <c r="W7" s="11">
        <f t="shared" ref="W7:W17" si="7">SUM(Y7:AT7)</f>
        <v>0.76331775700934579</v>
      </c>
      <c r="X7" s="11">
        <f>AO7/AM7</f>
        <v>1</v>
      </c>
      <c r="Y7">
        <v>1.8691588785046728E-3</v>
      </c>
      <c r="Z7">
        <v>1.1682242990654207E-3</v>
      </c>
      <c r="AA7">
        <v>3.1542056074766356E-3</v>
      </c>
      <c r="AB7">
        <v>8.8200934579439269E-3</v>
      </c>
      <c r="AC7">
        <v>3.7324766355140183E-2</v>
      </c>
      <c r="AD7">
        <v>2.2371495327102801E-2</v>
      </c>
      <c r="AE7">
        <v>8.5514018691588797E-2</v>
      </c>
      <c r="AF7">
        <v>0.17009345794392525</v>
      </c>
      <c r="AG7">
        <v>0.16185747663551403</v>
      </c>
      <c r="AH7">
        <v>8.3002336448598141E-2</v>
      </c>
      <c r="AI7">
        <v>3.5455607476635516E-2</v>
      </c>
      <c r="AJ7">
        <v>2.3189252336448599E-2</v>
      </c>
      <c r="AK7">
        <v>2.552570093457944E-2</v>
      </c>
      <c r="AL7">
        <v>1.6939252336448595E-3</v>
      </c>
      <c r="AM7">
        <v>3.6098130841121491E-2</v>
      </c>
      <c r="AN7">
        <v>8.2359813084112131E-3</v>
      </c>
      <c r="AO7">
        <v>3.6098130841121491E-2</v>
      </c>
      <c r="AP7">
        <v>4.9065420560747662E-3</v>
      </c>
      <c r="AQ7">
        <v>1.6939252336448597E-2</v>
      </c>
      <c r="AR7">
        <v>0</v>
      </c>
      <c r="AS7">
        <v>0</v>
      </c>
      <c r="AT7">
        <v>0</v>
      </c>
      <c r="AU7">
        <v>5067</v>
      </c>
      <c r="AV7" s="21">
        <v>5067</v>
      </c>
      <c r="AW7" s="22">
        <v>-175.43965502289615</v>
      </c>
      <c r="AX7" s="22">
        <v>3.7139674431226517</v>
      </c>
      <c r="AY7" s="23" t="s">
        <v>77</v>
      </c>
      <c r="AZ7" s="23" t="s">
        <v>77</v>
      </c>
      <c r="BA7" s="23">
        <v>-139.09255092297474</v>
      </c>
      <c r="BB7" s="23">
        <v>20.522376581626386</v>
      </c>
      <c r="BC7" s="23">
        <v>-131.33927863623157</v>
      </c>
      <c r="BD7" s="23">
        <v>18.004897448775019</v>
      </c>
      <c r="BE7" s="23" t="s">
        <v>77</v>
      </c>
      <c r="BF7" s="23" t="s">
        <v>77</v>
      </c>
      <c r="BG7" s="23" t="s">
        <v>77</v>
      </c>
      <c r="BH7" s="23" t="s">
        <v>77</v>
      </c>
      <c r="BI7" s="23" t="s">
        <v>77</v>
      </c>
      <c r="BJ7" s="23" t="s">
        <v>77</v>
      </c>
      <c r="BK7" s="23" t="s">
        <v>77</v>
      </c>
      <c r="BL7" s="23" t="s">
        <v>77</v>
      </c>
      <c r="BM7" s="23" t="s">
        <v>77</v>
      </c>
      <c r="BN7" s="23" t="s">
        <v>77</v>
      </c>
      <c r="BO7" s="23" t="s">
        <v>77</v>
      </c>
      <c r="BP7" s="23" t="s">
        <v>77</v>
      </c>
      <c r="BQ7" s="23" t="s">
        <v>77</v>
      </c>
      <c r="BR7" s="23" t="s">
        <v>77</v>
      </c>
      <c r="BS7" s="23">
        <v>-44.651250502012388</v>
      </c>
      <c r="BT7" s="23">
        <v>12.989914472264218</v>
      </c>
      <c r="BU7" s="23">
        <v>-59.512298704586108</v>
      </c>
      <c r="BV7" s="23">
        <v>8.9497443800337457</v>
      </c>
      <c r="BW7" s="22">
        <v>-31.569093032030693</v>
      </c>
      <c r="BX7" s="22">
        <v>0.26655254412747398</v>
      </c>
      <c r="BY7" s="22">
        <v>-30.490550369533054</v>
      </c>
      <c r="BZ7" s="22">
        <v>0.80203851207971766</v>
      </c>
      <c r="CA7" s="22">
        <v>-31.708986431473846</v>
      </c>
      <c r="CB7" s="22">
        <v>0.10319794956902924</v>
      </c>
      <c r="CC7" s="22">
        <v>-32.256883484630777</v>
      </c>
      <c r="CD7" s="22">
        <v>1.4640004835936242</v>
      </c>
      <c r="CE7" s="22">
        <v>-31.742947529982452</v>
      </c>
      <c r="CF7" s="22">
        <v>0.46902958243291404</v>
      </c>
      <c r="CG7" s="22">
        <v>-31.091927261837291</v>
      </c>
      <c r="CH7" s="22">
        <v>0.23942957427366063</v>
      </c>
      <c r="CI7" s="22">
        <v>-31.981715048974287</v>
      </c>
      <c r="CJ7" s="22">
        <v>1.1150588335751503</v>
      </c>
      <c r="CK7" s="23" t="s">
        <v>77</v>
      </c>
      <c r="CL7" s="23" t="s">
        <v>77</v>
      </c>
      <c r="CM7" s="22">
        <v>-32.911291515861294</v>
      </c>
      <c r="CN7" s="22">
        <v>1.4263117163082668</v>
      </c>
      <c r="CO7" s="23" t="s">
        <v>77</v>
      </c>
      <c r="CP7" s="23" t="s">
        <v>77</v>
      </c>
      <c r="CQ7" s="23" t="s">
        <v>77</v>
      </c>
      <c r="CR7" s="23" t="s">
        <v>77</v>
      </c>
    </row>
    <row r="8" spans="1:96" x14ac:dyDescent="0.3">
      <c r="A8" s="4"/>
      <c r="B8" s="4"/>
      <c r="C8" s="4"/>
      <c r="D8" t="s">
        <v>8</v>
      </c>
      <c r="E8" t="s">
        <v>19</v>
      </c>
      <c r="F8" s="11">
        <v>213</v>
      </c>
      <c r="G8">
        <v>17346</v>
      </c>
      <c r="H8">
        <v>14956</v>
      </c>
      <c r="I8">
        <v>19840</v>
      </c>
      <c r="J8" t="s">
        <v>10</v>
      </c>
      <c r="K8" t="s">
        <v>14</v>
      </c>
      <c r="M8" t="s">
        <v>12</v>
      </c>
      <c r="N8">
        <v>5066</v>
      </c>
      <c r="O8">
        <v>5066</v>
      </c>
      <c r="P8">
        <f t="shared" si="3"/>
        <v>0.14980919039959628</v>
      </c>
      <c r="Q8">
        <f t="shared" si="0"/>
        <v>0.40855975284582324</v>
      </c>
      <c r="R8" s="11">
        <f t="shared" si="4"/>
        <v>1.3802268333480938</v>
      </c>
      <c r="S8" s="11">
        <f t="shared" si="5"/>
        <v>29.16013659237958</v>
      </c>
      <c r="T8" s="11">
        <f t="shared" si="1"/>
        <v>27.744152425635221</v>
      </c>
      <c r="U8" s="11">
        <f t="shared" si="6"/>
        <v>0.21537066424846968</v>
      </c>
      <c r="V8" s="11">
        <f t="shared" si="2"/>
        <v>0.3918199262629094</v>
      </c>
      <c r="W8" s="11">
        <f t="shared" si="7"/>
        <v>7.0343783209351765</v>
      </c>
      <c r="X8" s="11">
        <f t="shared" ref="X8:X17" si="8">AO8/AM8</f>
        <v>0.61947410724537821</v>
      </c>
      <c r="Y8">
        <v>1.6471838469713071E-3</v>
      </c>
      <c r="Z8">
        <v>0</v>
      </c>
      <c r="AA8">
        <v>1.6471838469713071E-3</v>
      </c>
      <c r="AB8">
        <v>4.1976620616365574E-3</v>
      </c>
      <c r="AC8">
        <v>2.6726886291179596E-2</v>
      </c>
      <c r="AD8">
        <v>4.8884165781083958E-3</v>
      </c>
      <c r="AE8">
        <v>2.9596174282678005E-2</v>
      </c>
      <c r="AF8">
        <v>8.1402763018065885E-2</v>
      </c>
      <c r="AG8">
        <v>0.25239107332624866</v>
      </c>
      <c r="AH8">
        <v>0.49516471838469717</v>
      </c>
      <c r="AI8">
        <v>0.713230605738576</v>
      </c>
      <c r="AJ8">
        <v>1.1075451647183847</v>
      </c>
      <c r="AK8">
        <v>1.1114240170031882</v>
      </c>
      <c r="AL8">
        <v>0.11062699256110523</v>
      </c>
      <c r="AM8">
        <v>0.92550478214665266</v>
      </c>
      <c r="AN8">
        <v>0.69107332624867168</v>
      </c>
      <c r="AO8">
        <v>0.57332624867162596</v>
      </c>
      <c r="AP8">
        <v>0.39027630180658879</v>
      </c>
      <c r="AQ8">
        <v>0.26370882040382576</v>
      </c>
      <c r="AR8">
        <v>0.12938363443145592</v>
      </c>
      <c r="AS8">
        <v>8.2465462274176407E-2</v>
      </c>
      <c r="AT8">
        <v>3.815090329436769E-2</v>
      </c>
      <c r="AU8">
        <v>5066</v>
      </c>
      <c r="AV8" s="21">
        <v>5066</v>
      </c>
      <c r="AW8" s="23" t="s">
        <v>77</v>
      </c>
      <c r="AX8" s="23" t="s">
        <v>77</v>
      </c>
      <c r="AY8" s="23" t="s">
        <v>77</v>
      </c>
      <c r="AZ8" s="23" t="s">
        <v>77</v>
      </c>
      <c r="BA8" s="22">
        <v>-175.41788986046129</v>
      </c>
      <c r="BB8" s="22">
        <v>3.4363059220123504</v>
      </c>
      <c r="BC8" s="22">
        <v>-188.87159454362583</v>
      </c>
      <c r="BD8" s="22">
        <v>1.2636624949801791</v>
      </c>
      <c r="BE8" s="22">
        <v>-185.46481017281985</v>
      </c>
      <c r="BF8" s="22">
        <v>1.1876785985292311</v>
      </c>
      <c r="BG8" s="22">
        <v>-183.68475181732981</v>
      </c>
      <c r="BH8" s="22">
        <v>0.49689817711196743</v>
      </c>
      <c r="BI8" s="22">
        <v>-182.2609024770635</v>
      </c>
      <c r="BJ8" s="22">
        <v>0.68712906432513277</v>
      </c>
      <c r="BK8" s="22">
        <v>-180.40875863858028</v>
      </c>
      <c r="BL8" s="22">
        <v>1.3111294489823275</v>
      </c>
      <c r="BM8" s="22">
        <v>-182.54752627732148</v>
      </c>
      <c r="BN8" s="22">
        <v>1.5340896507851038</v>
      </c>
      <c r="BO8" s="22">
        <v>-180.43316059437649</v>
      </c>
      <c r="BP8" s="22">
        <v>1.0691897617593669</v>
      </c>
      <c r="BQ8" s="22">
        <v>-183.25228339073601</v>
      </c>
      <c r="BR8" s="22">
        <v>1.9287208302421943</v>
      </c>
      <c r="BS8" s="22">
        <v>-34.731390203759915</v>
      </c>
      <c r="BT8" s="22">
        <v>0.33354011765076003</v>
      </c>
      <c r="BU8" s="23" t="s">
        <v>77</v>
      </c>
      <c r="BV8" s="23" t="s">
        <v>77</v>
      </c>
      <c r="BW8" s="22">
        <v>-31.996203709878035</v>
      </c>
      <c r="BX8" s="22">
        <v>0.67461479574590111</v>
      </c>
      <c r="BY8" s="22">
        <v>-30.756848245907115</v>
      </c>
      <c r="BZ8" s="22">
        <v>0.76666034099325275</v>
      </c>
      <c r="CA8" s="22">
        <v>-30.621514039592121</v>
      </c>
      <c r="CB8" s="22">
        <v>0.27070103216213831</v>
      </c>
      <c r="CC8" s="22">
        <v>-30.276126127291064</v>
      </c>
      <c r="CD8" s="22">
        <v>0.14613617715749844</v>
      </c>
      <c r="CE8" s="22">
        <v>-30.363942639824053</v>
      </c>
      <c r="CF8" s="22">
        <v>0.10561752365645263</v>
      </c>
      <c r="CG8" s="22">
        <v>-30.707678206793606</v>
      </c>
      <c r="CH8" s="22">
        <v>0.1847548384826351</v>
      </c>
      <c r="CI8" s="22">
        <v>-31.119884043298946</v>
      </c>
      <c r="CJ8" s="22">
        <v>0.21904091511361604</v>
      </c>
      <c r="CK8" s="22">
        <v>-31.704057791423601</v>
      </c>
      <c r="CL8" s="22">
        <v>3.3040654620717001E-2</v>
      </c>
      <c r="CM8" s="22">
        <v>-32.368908628927564</v>
      </c>
      <c r="CN8" s="22">
        <v>8.5897189671379007E-3</v>
      </c>
      <c r="CO8" s="22">
        <v>-32.780070842612943</v>
      </c>
      <c r="CP8" s="22">
        <v>0.12188948149905635</v>
      </c>
      <c r="CQ8" s="22">
        <v>-33.673026915285249</v>
      </c>
      <c r="CR8" s="22">
        <v>0.63281696536788945</v>
      </c>
    </row>
    <row r="9" spans="1:96" x14ac:dyDescent="0.3">
      <c r="A9" s="4"/>
      <c r="B9" s="4"/>
      <c r="C9" s="4"/>
      <c r="D9" s="2" t="s">
        <v>8</v>
      </c>
      <c r="E9" s="2" t="s">
        <v>20</v>
      </c>
      <c r="F9" s="11">
        <v>212</v>
      </c>
      <c r="G9">
        <v>16647</v>
      </c>
      <c r="H9">
        <v>13748</v>
      </c>
      <c r="I9">
        <v>19730</v>
      </c>
      <c r="J9" t="s">
        <v>10</v>
      </c>
      <c r="K9" t="s">
        <v>14</v>
      </c>
      <c r="L9" s="2" t="s">
        <v>11</v>
      </c>
      <c r="M9" t="s">
        <v>12</v>
      </c>
      <c r="N9">
        <v>5065</v>
      </c>
      <c r="O9">
        <v>5065</v>
      </c>
      <c r="P9">
        <f t="shared" si="3"/>
        <v>1.81136638452237</v>
      </c>
      <c r="Q9">
        <f t="shared" si="0"/>
        <v>0.20541835851694062</v>
      </c>
      <c r="R9" s="11">
        <f t="shared" si="4"/>
        <v>3.6651404551679927</v>
      </c>
      <c r="S9" s="11">
        <f t="shared" si="5"/>
        <v>29.667530784186653</v>
      </c>
      <c r="T9" s="11">
        <f t="shared" si="1"/>
        <v>24.832326283987914</v>
      </c>
      <c r="U9" s="11">
        <f t="shared" si="6"/>
        <v>0.69064084831719685</v>
      </c>
      <c r="V9" s="11">
        <f t="shared" si="2"/>
        <v>0.67615176151761525</v>
      </c>
      <c r="W9" s="11">
        <f t="shared" si="7"/>
        <v>0.97173350582147511</v>
      </c>
      <c r="X9" s="11">
        <f t="shared" si="8"/>
        <v>0.91008991008991003</v>
      </c>
      <c r="Y9">
        <v>2.005174644243208E-3</v>
      </c>
      <c r="Z9">
        <v>1.7464424320827944E-3</v>
      </c>
      <c r="AA9">
        <v>5.2393272962483837E-3</v>
      </c>
      <c r="AB9">
        <v>1.3648124191461835E-2</v>
      </c>
      <c r="AC9">
        <v>3.9003880983182408E-2</v>
      </c>
      <c r="AD9">
        <v>3.0012936610608016E-2</v>
      </c>
      <c r="AE9">
        <v>0.10265200517464423</v>
      </c>
      <c r="AF9">
        <v>0.17639068564036223</v>
      </c>
      <c r="AG9">
        <v>0.19379042690815007</v>
      </c>
      <c r="AH9">
        <v>9.5084087968952125E-2</v>
      </c>
      <c r="AI9">
        <v>6.4424320827943082E-2</v>
      </c>
      <c r="AJ9">
        <v>3.4023285899094438E-2</v>
      </c>
      <c r="AK9">
        <v>4.8059508408796893E-2</v>
      </c>
      <c r="AL9">
        <v>2.1992238033635187E-3</v>
      </c>
      <c r="AM9">
        <v>6.4747736093143604E-2</v>
      </c>
      <c r="AN9">
        <v>8.2794307891332474E-3</v>
      </c>
      <c r="AO9">
        <v>5.8926261319534282E-2</v>
      </c>
      <c r="AP9">
        <v>3.6222509702457961E-3</v>
      </c>
      <c r="AQ9">
        <v>2.7878395860284604E-2</v>
      </c>
      <c r="AR9">
        <v>0</v>
      </c>
      <c r="AS9">
        <v>0</v>
      </c>
      <c r="AT9">
        <v>0</v>
      </c>
      <c r="AU9">
        <v>5065</v>
      </c>
      <c r="AV9" s="21">
        <v>5065</v>
      </c>
      <c r="AW9" s="22">
        <v>-128.56185760305328</v>
      </c>
      <c r="AX9" s="22">
        <v>4.6218749905685454</v>
      </c>
      <c r="AY9" s="23" t="s">
        <v>77</v>
      </c>
      <c r="AZ9" s="23" t="s">
        <v>77</v>
      </c>
      <c r="BA9" s="23">
        <v>-48.749153452134841</v>
      </c>
      <c r="BB9" s="23">
        <v>13.161937558911198</v>
      </c>
      <c r="BC9" s="23">
        <v>-78.943428320665078</v>
      </c>
      <c r="BD9" s="23">
        <v>5.3484305423318945</v>
      </c>
      <c r="BE9" s="22">
        <v>-94.204275074853598</v>
      </c>
      <c r="BF9" s="22">
        <v>0.15612200144507468</v>
      </c>
      <c r="BG9" s="23">
        <v>-97.680822981831653</v>
      </c>
      <c r="BH9" s="23">
        <v>48.156477730559246</v>
      </c>
      <c r="BI9" s="23">
        <v>-25.770512459501255</v>
      </c>
      <c r="BJ9" s="23">
        <v>70.928868938067765</v>
      </c>
      <c r="BK9" s="23" t="s">
        <v>77</v>
      </c>
      <c r="BL9" s="23" t="s">
        <v>77</v>
      </c>
      <c r="BM9" s="23" t="s">
        <v>77</v>
      </c>
      <c r="BN9" s="23" t="s">
        <v>77</v>
      </c>
      <c r="BO9" s="23" t="s">
        <v>77</v>
      </c>
      <c r="BP9" s="23" t="s">
        <v>77</v>
      </c>
      <c r="BQ9" s="23" t="s">
        <v>77</v>
      </c>
      <c r="BR9" s="23" t="s">
        <v>77</v>
      </c>
      <c r="BS9" s="23">
        <v>-44.955510154329026</v>
      </c>
      <c r="BT9" s="23">
        <v>5.1967499600387246</v>
      </c>
      <c r="BU9" s="23">
        <v>-49.666106528016684</v>
      </c>
      <c r="BV9" s="23">
        <v>5.8867659720098473</v>
      </c>
      <c r="BW9" s="22">
        <v>-31.444492809572061</v>
      </c>
      <c r="BX9" s="22">
        <v>0.23101839683979516</v>
      </c>
      <c r="BY9" s="22">
        <v>-30.75435888399533</v>
      </c>
      <c r="BZ9" s="22">
        <v>0.18929375415517818</v>
      </c>
      <c r="CA9" s="22">
        <v>-32.061995314824564</v>
      </c>
      <c r="CB9" s="22">
        <v>0.23772342430727442</v>
      </c>
      <c r="CC9" s="22">
        <v>-31.683433480710477</v>
      </c>
      <c r="CD9" s="22">
        <v>0.18517320238846652</v>
      </c>
      <c r="CE9" s="22">
        <v>-31.901820753991231</v>
      </c>
      <c r="CF9" s="22">
        <v>0.37547573443507293</v>
      </c>
      <c r="CG9" s="22">
        <v>-31.679424559470498</v>
      </c>
      <c r="CH9" s="22">
        <v>1.7429159109805418E-2</v>
      </c>
      <c r="CI9" s="22">
        <v>-32.037925106361087</v>
      </c>
      <c r="CJ9" s="22">
        <v>0.11277640447691963</v>
      </c>
      <c r="CK9" s="22">
        <v>-31.470316178436882</v>
      </c>
      <c r="CL9" s="22">
        <v>8.9533927329114235E-2</v>
      </c>
      <c r="CM9" s="22">
        <v>-33.497223311937276</v>
      </c>
      <c r="CN9" s="22">
        <v>0.2813303084656959</v>
      </c>
      <c r="CO9" s="23" t="s">
        <v>77</v>
      </c>
      <c r="CP9" s="23" t="s">
        <v>77</v>
      </c>
      <c r="CQ9" s="22">
        <v>-34.545938168267156</v>
      </c>
      <c r="CR9" s="22">
        <v>0.14855113229305136</v>
      </c>
    </row>
    <row r="10" spans="1:96" x14ac:dyDescent="0.3">
      <c r="A10" s="4"/>
      <c r="B10" s="4"/>
      <c r="C10" s="4"/>
      <c r="D10" t="s">
        <v>8</v>
      </c>
      <c r="E10" t="s">
        <v>21</v>
      </c>
      <c r="F10" s="11">
        <v>210</v>
      </c>
      <c r="G10">
        <v>15386</v>
      </c>
      <c r="H10">
        <v>13558</v>
      </c>
      <c r="I10">
        <v>17281</v>
      </c>
      <c r="J10" t="s">
        <v>22</v>
      </c>
      <c r="K10" t="s">
        <v>14</v>
      </c>
      <c r="M10" t="s">
        <v>12</v>
      </c>
      <c r="N10">
        <v>5064</v>
      </c>
      <c r="O10">
        <v>5064</v>
      </c>
      <c r="P10">
        <f t="shared" si="3"/>
        <v>2.1655858192823176</v>
      </c>
      <c r="Q10">
        <f t="shared" si="0"/>
        <v>0.17892703862660941</v>
      </c>
      <c r="R10" s="11">
        <f t="shared" si="4"/>
        <v>2.5105188235303073</v>
      </c>
      <c r="S10" s="11">
        <f t="shared" si="5"/>
        <v>29.807387862796833</v>
      </c>
      <c r="T10" s="11">
        <f t="shared" si="1"/>
        <v>24.700204439252335</v>
      </c>
      <c r="U10" s="11">
        <f t="shared" si="6"/>
        <v>0.71485657199942909</v>
      </c>
      <c r="V10" s="11">
        <f t="shared" si="2"/>
        <v>0.72200513564809654</v>
      </c>
      <c r="W10" s="11">
        <f t="shared" si="7"/>
        <v>1.4364981504315661</v>
      </c>
      <c r="X10" s="11">
        <f t="shared" si="8"/>
        <v>1.120954003407155</v>
      </c>
      <c r="Y10">
        <v>0</v>
      </c>
      <c r="Z10">
        <v>9.0012330456226888E-3</v>
      </c>
      <c r="AA10">
        <v>1.4180024660912454E-2</v>
      </c>
      <c r="AB10">
        <v>2.3674475955610359E-2</v>
      </c>
      <c r="AC10">
        <v>5.8261405672009867E-2</v>
      </c>
      <c r="AD10">
        <v>3.3292231812577067E-2</v>
      </c>
      <c r="AE10">
        <v>0.13039457459926015</v>
      </c>
      <c r="AF10">
        <v>0.24346485819975341</v>
      </c>
      <c r="AG10">
        <v>0.30881627620221952</v>
      </c>
      <c r="AH10">
        <v>0.17546239210850803</v>
      </c>
      <c r="AI10">
        <v>8.9889025893958099E-2</v>
      </c>
      <c r="AJ10">
        <v>5.3020961775585698E-2</v>
      </c>
      <c r="AK10">
        <v>6.1467324290998777E-2</v>
      </c>
      <c r="AL10">
        <v>2.4414303329223185E-2</v>
      </c>
      <c r="AM10">
        <v>7.2379778051787927E-2</v>
      </c>
      <c r="AN10">
        <v>9.0012330456226888E-3</v>
      </c>
      <c r="AO10">
        <v>8.1134401972872999E-2</v>
      </c>
      <c r="AP10">
        <v>6.5967940813810126E-3</v>
      </c>
      <c r="AQ10">
        <v>4.2046855733662153E-2</v>
      </c>
      <c r="AR10">
        <v>0</v>
      </c>
      <c r="AS10">
        <v>0</v>
      </c>
      <c r="AT10">
        <v>0</v>
      </c>
      <c r="AU10">
        <v>5064</v>
      </c>
      <c r="AV10" s="21">
        <v>5064</v>
      </c>
      <c r="AW10" s="22">
        <v>-151.17020475281674</v>
      </c>
      <c r="AX10" s="22">
        <v>2.2040355077940905</v>
      </c>
      <c r="AY10" s="23" t="s">
        <v>77</v>
      </c>
      <c r="AZ10" s="23" t="s">
        <v>77</v>
      </c>
      <c r="BA10" s="22">
        <v>-120.32663533281143</v>
      </c>
      <c r="BB10" s="22">
        <v>4.5433555951154787</v>
      </c>
      <c r="BC10" s="22">
        <v>-112.90735076178456</v>
      </c>
      <c r="BD10" s="22">
        <v>0.99014564302066355</v>
      </c>
      <c r="BE10" s="22">
        <v>-112.84670945610121</v>
      </c>
      <c r="BF10" s="22">
        <v>3.0244418210429203</v>
      </c>
      <c r="BG10" s="23" t="s">
        <v>77</v>
      </c>
      <c r="BH10" s="23" t="s">
        <v>77</v>
      </c>
      <c r="BI10" s="23" t="s">
        <v>77</v>
      </c>
      <c r="BJ10" s="23" t="s">
        <v>77</v>
      </c>
      <c r="BK10" s="23" t="s">
        <v>77</v>
      </c>
      <c r="BL10" s="23" t="s">
        <v>77</v>
      </c>
      <c r="BM10" s="23" t="s">
        <v>77</v>
      </c>
      <c r="BN10" s="23" t="s">
        <v>77</v>
      </c>
      <c r="BO10" s="23" t="s">
        <v>77</v>
      </c>
      <c r="BP10" s="23" t="s">
        <v>77</v>
      </c>
      <c r="BQ10" s="23" t="s">
        <v>77</v>
      </c>
      <c r="BR10" s="23" t="s">
        <v>77</v>
      </c>
      <c r="BS10" s="22">
        <v>-34.637969036890681</v>
      </c>
      <c r="BT10" s="22">
        <v>0.54530229107415529</v>
      </c>
      <c r="BU10" s="22">
        <v>-31.875735551165747</v>
      </c>
      <c r="BV10" s="22">
        <v>1.2847148509305377</v>
      </c>
      <c r="BW10" s="22">
        <v>-31.269435097057737</v>
      </c>
      <c r="BX10" s="22">
        <v>4.5345046354611966E-3</v>
      </c>
      <c r="BY10" s="22">
        <v>-30.95525372669427</v>
      </c>
      <c r="BZ10" s="22">
        <v>4.2708706206673233E-2</v>
      </c>
      <c r="CA10" s="22">
        <v>-31.369312072870613</v>
      </c>
      <c r="CB10" s="22">
        <v>0.16566230247696367</v>
      </c>
      <c r="CC10" s="22">
        <v>-31.127019353563689</v>
      </c>
      <c r="CD10" s="22">
        <v>0.1904974708891716</v>
      </c>
      <c r="CE10" s="22">
        <v>-31.005477054243819</v>
      </c>
      <c r="CF10" s="22">
        <v>3.0535301203641008E-2</v>
      </c>
      <c r="CG10" s="22">
        <v>-32.570820501681652</v>
      </c>
      <c r="CH10" s="22">
        <v>0.48558768321278262</v>
      </c>
      <c r="CI10" s="22">
        <v>-32.967670215835255</v>
      </c>
      <c r="CJ10" s="22">
        <v>0.606175863957509</v>
      </c>
      <c r="CK10" s="22">
        <v>-32.693343691738669</v>
      </c>
      <c r="CL10" s="22">
        <v>0.40167269653657717</v>
      </c>
      <c r="CM10" s="22">
        <v>-33.5220613985379</v>
      </c>
      <c r="CN10" s="22">
        <v>5.2199406402822945E-2</v>
      </c>
      <c r="CO10" s="23" t="s">
        <v>77</v>
      </c>
      <c r="CP10" s="23" t="s">
        <v>77</v>
      </c>
      <c r="CQ10" s="22">
        <v>-33.985153092577136</v>
      </c>
      <c r="CR10" s="22">
        <v>0.23760363740244098</v>
      </c>
    </row>
    <row r="11" spans="1:96" x14ac:dyDescent="0.3">
      <c r="D11" t="s">
        <v>8</v>
      </c>
      <c r="E11" t="s">
        <v>23</v>
      </c>
      <c r="F11" s="11">
        <v>207</v>
      </c>
      <c r="G11">
        <v>13494</v>
      </c>
      <c r="H11">
        <v>12830</v>
      </c>
      <c r="I11">
        <v>14172</v>
      </c>
      <c r="J11" t="s">
        <v>24</v>
      </c>
      <c r="K11" t="s">
        <v>14</v>
      </c>
      <c r="M11" t="s">
        <v>12</v>
      </c>
      <c r="N11">
        <v>5063</v>
      </c>
      <c r="O11">
        <v>5063</v>
      </c>
      <c r="P11">
        <f t="shared" si="3"/>
        <v>0.63370075525617475</v>
      </c>
      <c r="Q11">
        <f t="shared" si="0"/>
        <v>0.42178070115955785</v>
      </c>
      <c r="R11" s="11">
        <f t="shared" si="4"/>
        <v>5.1512020402455754</v>
      </c>
      <c r="S11" s="11">
        <f t="shared" si="5"/>
        <v>30.072282118009458</v>
      </c>
      <c r="T11" s="11">
        <f t="shared" si="1"/>
        <v>26.886712148713777</v>
      </c>
      <c r="U11" s="11">
        <f t="shared" si="6"/>
        <v>0.38634808039325497</v>
      </c>
      <c r="V11" s="11">
        <f t="shared" si="2"/>
        <v>0.42842520836379588</v>
      </c>
      <c r="W11" s="11">
        <f t="shared" si="7"/>
        <v>3.1600714285714284</v>
      </c>
      <c r="X11" s="11">
        <f t="shared" si="8"/>
        <v>1.152533039647577</v>
      </c>
      <c r="Y11">
        <v>2.8571428571428576E-3</v>
      </c>
      <c r="Z11">
        <v>1.1285714285714288E-2</v>
      </c>
      <c r="AA11">
        <v>2.7642857142857143E-2</v>
      </c>
      <c r="AB11">
        <v>2.9142857142857144E-2</v>
      </c>
      <c r="AC11">
        <v>0.11050000000000001</v>
      </c>
      <c r="AD11">
        <v>4.0857142857142856E-2</v>
      </c>
      <c r="AE11">
        <v>0.21121428571428574</v>
      </c>
      <c r="AF11">
        <v>0.26614285714285713</v>
      </c>
      <c r="AG11">
        <v>0.44350000000000006</v>
      </c>
      <c r="AH11">
        <v>0.21228571428571427</v>
      </c>
      <c r="AI11">
        <v>0.18435714285714286</v>
      </c>
      <c r="AJ11">
        <v>0.11114285714285714</v>
      </c>
      <c r="AK11">
        <v>0.25135714285714289</v>
      </c>
      <c r="AL11">
        <v>8.6428571428571431E-3</v>
      </c>
      <c r="AM11">
        <v>0.38914285714285718</v>
      </c>
      <c r="AN11">
        <v>5.507142857142857E-2</v>
      </c>
      <c r="AO11">
        <v>0.44850000000000001</v>
      </c>
      <c r="AP11">
        <v>3.785714285714286E-2</v>
      </c>
      <c r="AQ11">
        <v>0.24385714285714286</v>
      </c>
      <c r="AR11">
        <v>1.2642857142857145E-2</v>
      </c>
      <c r="AS11">
        <v>1.2071428571428571E-2</v>
      </c>
      <c r="AT11">
        <v>0.05</v>
      </c>
      <c r="AU11">
        <v>5063</v>
      </c>
      <c r="AV11" s="21">
        <v>5063</v>
      </c>
      <c r="AW11" s="22">
        <v>-210.43442541470881</v>
      </c>
      <c r="AX11" s="22">
        <v>0.41746516267234146</v>
      </c>
      <c r="AY11" s="22">
        <v>-194.1709256046297</v>
      </c>
      <c r="AZ11" s="22">
        <v>3.1089032973293196</v>
      </c>
      <c r="BA11" s="22">
        <v>-189.36554594123666</v>
      </c>
      <c r="BB11" s="22">
        <v>0.60445949039641955</v>
      </c>
      <c r="BC11" s="22">
        <v>-182.56009998132618</v>
      </c>
      <c r="BD11" s="22">
        <v>3.2479578319160316</v>
      </c>
      <c r="BE11" s="22">
        <v>-198.52270647676116</v>
      </c>
      <c r="BF11" s="22">
        <v>3.806101795483503</v>
      </c>
      <c r="BG11" s="22">
        <v>-202.8334789617563</v>
      </c>
      <c r="BH11" s="22">
        <v>4.8331789326627828</v>
      </c>
      <c r="BI11" s="22">
        <v>-204.69632747674231</v>
      </c>
      <c r="BJ11" s="22">
        <v>2.1727907343631609</v>
      </c>
      <c r="BK11" s="22">
        <v>-201.68269293300449</v>
      </c>
      <c r="BL11" s="22">
        <v>1.5734581536389178</v>
      </c>
      <c r="BM11" s="22">
        <v>-210.54101756465496</v>
      </c>
      <c r="BN11" s="22">
        <v>1.6323264973379641</v>
      </c>
      <c r="BO11" s="23">
        <v>-193.22398627563012</v>
      </c>
      <c r="BP11" s="23">
        <v>9.6403659112810569</v>
      </c>
      <c r="BQ11" s="22">
        <v>-205.98790014132726</v>
      </c>
      <c r="BR11" s="22">
        <v>3.4288399070214299</v>
      </c>
      <c r="BS11" s="22">
        <v>-32.566321601907816</v>
      </c>
      <c r="BT11" s="22">
        <v>4.9704261335761835E-2</v>
      </c>
      <c r="BU11" s="22">
        <v>-34.886057478613004</v>
      </c>
      <c r="BV11" s="22">
        <v>0.44662946679795357</v>
      </c>
      <c r="BW11" s="22">
        <v>-31.482436317158871</v>
      </c>
      <c r="BX11" s="22">
        <v>0.65755090779189618</v>
      </c>
      <c r="BY11" s="22">
        <v>-30.941322109564897</v>
      </c>
      <c r="BZ11" s="22">
        <v>0.18757713567793852</v>
      </c>
      <c r="CA11" s="22">
        <v>-32.095987187135222</v>
      </c>
      <c r="CB11" s="22">
        <v>0.23608921793940546</v>
      </c>
      <c r="CC11" s="22">
        <v>-31.086099763072745</v>
      </c>
      <c r="CD11" s="22">
        <v>6.3707665427301038E-2</v>
      </c>
      <c r="CE11" s="22">
        <v>-31.97926257805311</v>
      </c>
      <c r="CF11" s="22">
        <v>4.1894457274961959E-2</v>
      </c>
      <c r="CG11" s="22">
        <v>-32.099827288888449</v>
      </c>
      <c r="CH11" s="22">
        <v>6.254244381144046E-2</v>
      </c>
      <c r="CI11" s="22">
        <v>-32.970252162108522</v>
      </c>
      <c r="CJ11" s="22">
        <v>2.0575086418847034E-3</v>
      </c>
      <c r="CK11" s="22">
        <v>-33.258876367804589</v>
      </c>
      <c r="CL11" s="22">
        <v>0.10769521503335305</v>
      </c>
      <c r="CM11" s="22">
        <v>-33.581778951685813</v>
      </c>
      <c r="CN11" s="22">
        <v>8.5535569427870661E-2</v>
      </c>
      <c r="CO11" s="23" t="s">
        <v>77</v>
      </c>
      <c r="CP11" s="23" t="s">
        <v>77</v>
      </c>
      <c r="CQ11" s="22">
        <v>-34.292278013853206</v>
      </c>
      <c r="CR11" s="22">
        <v>2.6264127439352802E-2</v>
      </c>
    </row>
    <row r="12" spans="1:96" x14ac:dyDescent="0.3">
      <c r="A12" s="10">
        <v>205</v>
      </c>
      <c r="B12" s="1">
        <v>13082</v>
      </c>
      <c r="C12" s="10">
        <v>109</v>
      </c>
      <c r="D12" s="2" t="s">
        <v>8</v>
      </c>
      <c r="E12" s="2" t="s">
        <v>25</v>
      </c>
      <c r="F12" s="11">
        <v>205</v>
      </c>
      <c r="G12">
        <v>13008</v>
      </c>
      <c r="H12">
        <v>12565</v>
      </c>
      <c r="I12">
        <v>13368</v>
      </c>
      <c r="J12" s="2" t="s">
        <v>24</v>
      </c>
      <c r="K12" t="s">
        <v>14</v>
      </c>
      <c r="L12" s="2" t="s">
        <v>11</v>
      </c>
      <c r="M12" t="s">
        <v>12</v>
      </c>
      <c r="N12">
        <v>5062</v>
      </c>
      <c r="O12">
        <v>5062</v>
      </c>
      <c r="P12">
        <f t="shared" si="3"/>
        <v>0.56083429895712633</v>
      </c>
      <c r="Q12">
        <f t="shared" si="0"/>
        <v>0.4020198000099498</v>
      </c>
      <c r="R12" s="11">
        <f t="shared" si="4"/>
        <v>6.6021521827825378</v>
      </c>
      <c r="S12" s="11">
        <f t="shared" si="5"/>
        <v>29.545454545454543</v>
      </c>
      <c r="T12" s="11">
        <f t="shared" si="1"/>
        <v>26.244758177243501</v>
      </c>
      <c r="U12" s="11">
        <f t="shared" si="6"/>
        <v>0.42801556420233461</v>
      </c>
      <c r="V12" s="11">
        <f t="shared" si="2"/>
        <v>0.40305692622457573</v>
      </c>
      <c r="W12" s="11">
        <f t="shared" si="7"/>
        <v>1.3881906077348065</v>
      </c>
      <c r="X12" s="11">
        <f t="shared" si="8"/>
        <v>0.78353110391945335</v>
      </c>
      <c r="Y12">
        <v>3.1767955801104975E-3</v>
      </c>
      <c r="Z12">
        <v>1.5055248618784533E-2</v>
      </c>
      <c r="AA12">
        <v>2.5552486187845308E-2</v>
      </c>
      <c r="AB12">
        <v>2.1685082872928179E-2</v>
      </c>
      <c r="AC12">
        <v>7.5552486187845311E-2</v>
      </c>
      <c r="AD12">
        <v>3.2320441988950274E-2</v>
      </c>
      <c r="AE12">
        <v>0.12320441988950276</v>
      </c>
      <c r="AF12">
        <v>0.15573204419889505</v>
      </c>
      <c r="AG12">
        <v>0.16712707182320441</v>
      </c>
      <c r="AH12">
        <v>7.0441988950276244E-2</v>
      </c>
      <c r="AI12">
        <v>6.4157458563535899E-2</v>
      </c>
      <c r="AJ12">
        <v>3.8397790055248612E-2</v>
      </c>
      <c r="AK12">
        <v>0.14751381215469614</v>
      </c>
      <c r="AL12">
        <v>4.005524861878453E-3</v>
      </c>
      <c r="AM12">
        <v>0.19205801104972375</v>
      </c>
      <c r="AN12">
        <v>1.5400552486187845E-2</v>
      </c>
      <c r="AO12">
        <v>0.15048342541436463</v>
      </c>
      <c r="AP12">
        <v>1.084254143646409E-2</v>
      </c>
      <c r="AQ12">
        <v>6.8024861878453038E-2</v>
      </c>
      <c r="AR12">
        <v>2.6243093922651939E-3</v>
      </c>
      <c r="AS12">
        <v>4.8342541436464078E-3</v>
      </c>
      <c r="AT12">
        <v>0</v>
      </c>
      <c r="AU12">
        <v>5062</v>
      </c>
      <c r="AV12" s="21">
        <v>5062</v>
      </c>
      <c r="AW12" s="23">
        <v>-170.84855384727115</v>
      </c>
      <c r="AX12" s="23">
        <v>19.70064139823149</v>
      </c>
      <c r="AY12" s="23" t="s">
        <v>77</v>
      </c>
      <c r="AZ12" s="23" t="s">
        <v>77</v>
      </c>
      <c r="BA12" s="23">
        <v>-113.89594109105599</v>
      </c>
      <c r="BB12" s="23">
        <v>5.6414375713200045</v>
      </c>
      <c r="BC12" s="23">
        <v>-117.52067283067804</v>
      </c>
      <c r="BD12" s="23">
        <v>17.663377775775466</v>
      </c>
      <c r="BE12" s="23">
        <v>-113.62056817726801</v>
      </c>
      <c r="BF12" s="23">
        <v>10.263068558346557</v>
      </c>
      <c r="BG12" s="23">
        <v>-201.89723913466614</v>
      </c>
      <c r="BH12" s="23">
        <v>2.4018729267590078</v>
      </c>
      <c r="BI12" s="23">
        <v>-116.25506522512747</v>
      </c>
      <c r="BJ12" s="23">
        <v>1.2871465645560511</v>
      </c>
      <c r="BK12" s="23">
        <v>-145.83591762395673</v>
      </c>
      <c r="BL12" s="23">
        <v>23.569992605670489</v>
      </c>
      <c r="BM12" s="23">
        <v>-139.83920461631607</v>
      </c>
      <c r="BN12" s="23">
        <v>6.8521993522289373</v>
      </c>
      <c r="BO12" s="23" t="s">
        <v>77</v>
      </c>
      <c r="BP12" s="23" t="s">
        <v>77</v>
      </c>
      <c r="BQ12" s="23" t="s">
        <v>77</v>
      </c>
      <c r="BR12" s="23" t="s">
        <v>77</v>
      </c>
      <c r="BS12" s="22">
        <v>-35.048638839016881</v>
      </c>
      <c r="BT12" s="22">
        <v>0.28197392798705151</v>
      </c>
      <c r="BU12" s="22">
        <v>-36.052015208833296</v>
      </c>
      <c r="BV12" s="22">
        <v>0.88208842297026702</v>
      </c>
      <c r="BW12" s="22">
        <v>-31.962176990957282</v>
      </c>
      <c r="BX12" s="22">
        <v>0.62474790231518607</v>
      </c>
      <c r="BY12" s="22">
        <v>-30.887286827799116</v>
      </c>
      <c r="BZ12" s="22">
        <v>3.5622362614100449E-2</v>
      </c>
      <c r="CA12" s="22">
        <v>-32.201468148512589</v>
      </c>
      <c r="CB12" s="22">
        <v>2.0312399285406253E-2</v>
      </c>
      <c r="CC12" s="22">
        <v>-31.579022710590053</v>
      </c>
      <c r="CD12" s="22">
        <v>3.5865299459122211E-3</v>
      </c>
      <c r="CE12" s="22">
        <v>-31.780696535368087</v>
      </c>
      <c r="CF12" s="22">
        <v>0.15217505938663933</v>
      </c>
      <c r="CG12" s="22">
        <v>-31.656094434881332</v>
      </c>
      <c r="CH12" s="22">
        <v>0.78799299456175098</v>
      </c>
      <c r="CI12" s="22">
        <v>-31.911838331020526</v>
      </c>
      <c r="CJ12" s="22">
        <v>0.17751659781854612</v>
      </c>
      <c r="CK12" s="22">
        <v>-33.571682283520857</v>
      </c>
      <c r="CL12" s="22">
        <v>0.18319801606229949</v>
      </c>
      <c r="CM12" s="22">
        <v>-32.867919237665774</v>
      </c>
      <c r="CN12" s="22">
        <v>3.7631339771406785E-2</v>
      </c>
      <c r="CO12" s="22">
        <v>-35.936086175042497</v>
      </c>
      <c r="CP12" s="22">
        <v>0.48925922752078199</v>
      </c>
      <c r="CQ12" s="22">
        <v>-33.737794865633091</v>
      </c>
      <c r="CR12" s="22">
        <v>0.27472632684755216</v>
      </c>
    </row>
    <row r="13" spans="1:96" x14ac:dyDescent="0.3">
      <c r="D13" t="s">
        <v>8</v>
      </c>
      <c r="E13" t="s">
        <v>26</v>
      </c>
      <c r="F13" s="11">
        <v>203</v>
      </c>
      <c r="G13">
        <v>12521</v>
      </c>
      <c r="H13">
        <v>11969</v>
      </c>
      <c r="I13">
        <v>13097</v>
      </c>
      <c r="J13" t="s">
        <v>24</v>
      </c>
      <c r="K13" t="s">
        <v>14</v>
      </c>
      <c r="M13" t="s">
        <v>12</v>
      </c>
      <c r="N13">
        <v>5061</v>
      </c>
      <c r="O13">
        <v>5061</v>
      </c>
      <c r="P13">
        <f t="shared" si="3"/>
        <v>0.64892802450229714</v>
      </c>
      <c r="Q13">
        <f t="shared" si="0"/>
        <v>0.36552486187845318</v>
      </c>
      <c r="R13" s="11">
        <f t="shared" si="4"/>
        <v>7.5083114345904303</v>
      </c>
      <c r="S13" s="11">
        <f t="shared" si="5"/>
        <v>30.05408102175214</v>
      </c>
      <c r="T13" s="11">
        <f t="shared" si="1"/>
        <v>25.962673521850899</v>
      </c>
      <c r="U13" s="11">
        <f t="shared" si="6"/>
        <v>0.39446125203630444</v>
      </c>
      <c r="V13" s="11">
        <f t="shared" si="2"/>
        <v>0.41875115805076896</v>
      </c>
      <c r="W13" s="11">
        <f t="shared" si="7"/>
        <v>0.90379494007989336</v>
      </c>
      <c r="X13" s="11">
        <f t="shared" si="8"/>
        <v>1.1383776414451261</v>
      </c>
      <c r="Y13">
        <v>3.3288948069241015E-3</v>
      </c>
      <c r="Z13">
        <v>1.3182423435419442E-2</v>
      </c>
      <c r="AA13">
        <v>1.7909454061251665E-2</v>
      </c>
      <c r="AB13">
        <v>2.4766977363515318E-2</v>
      </c>
      <c r="AC13">
        <v>6.8974700399467376E-2</v>
      </c>
      <c r="AD13">
        <v>2.8229027962716383E-2</v>
      </c>
      <c r="AE13">
        <v>9.766977363515314E-2</v>
      </c>
      <c r="AF13">
        <v>9.234354194407457E-2</v>
      </c>
      <c r="AG13">
        <v>0.11284953395472704</v>
      </c>
      <c r="AH13">
        <v>3.5552596537949406E-2</v>
      </c>
      <c r="AI13">
        <v>3.7616511318242347E-2</v>
      </c>
      <c r="AJ13">
        <v>1.6977363515312916E-2</v>
      </c>
      <c r="AK13">
        <v>6.271637816245007E-2</v>
      </c>
      <c r="AL13">
        <v>1.9307589880159786E-3</v>
      </c>
      <c r="AM13">
        <v>9.766977363515314E-2</v>
      </c>
      <c r="AN13">
        <v>8.1890812250332897E-3</v>
      </c>
      <c r="AO13">
        <v>0.11118508655126498</v>
      </c>
      <c r="AP13">
        <v>7.1904127829560596E-3</v>
      </c>
      <c r="AQ13">
        <v>5.8788282290279631E-2</v>
      </c>
      <c r="AR13">
        <v>3.4620505992010654E-3</v>
      </c>
      <c r="AS13">
        <v>3.2623169107856196E-3</v>
      </c>
      <c r="AT13">
        <v>0</v>
      </c>
      <c r="AU13">
        <v>5061</v>
      </c>
      <c r="AV13" s="21">
        <v>5061</v>
      </c>
      <c r="AW13" s="23">
        <v>-194.70986982258444</v>
      </c>
      <c r="AX13" s="23">
        <v>10.238394595340331</v>
      </c>
      <c r="AY13" s="23" t="s">
        <v>77</v>
      </c>
      <c r="AZ13" s="23" t="s">
        <v>77</v>
      </c>
      <c r="BA13" s="23">
        <v>-156.86110073359498</v>
      </c>
      <c r="BB13" s="23">
        <v>28.24064754147517</v>
      </c>
      <c r="BC13" s="23" t="s">
        <v>77</v>
      </c>
      <c r="BD13" s="23" t="s">
        <v>77</v>
      </c>
      <c r="BE13" s="23">
        <v>-167.66103107140975</v>
      </c>
      <c r="BF13" s="23">
        <v>34.5219524419471</v>
      </c>
      <c r="BG13" s="23">
        <v>-201.3667537180213</v>
      </c>
      <c r="BH13" s="23">
        <v>9.3370748590565533</v>
      </c>
      <c r="BI13" s="23">
        <v>-154.06346296709876</v>
      </c>
      <c r="BJ13" s="23">
        <v>27.149375633996115</v>
      </c>
      <c r="BK13" s="23" t="s">
        <v>77</v>
      </c>
      <c r="BL13" s="23" t="s">
        <v>77</v>
      </c>
      <c r="BM13" s="23">
        <v>-149.08676415879933</v>
      </c>
      <c r="BN13" s="23">
        <v>21.002020219596567</v>
      </c>
      <c r="BO13" s="23" t="s">
        <v>77</v>
      </c>
      <c r="BP13" s="23" t="s">
        <v>77</v>
      </c>
      <c r="BQ13" s="23" t="s">
        <v>77</v>
      </c>
      <c r="BR13" s="23" t="s">
        <v>77</v>
      </c>
      <c r="BS13" s="22">
        <v>-36.240149125703795</v>
      </c>
      <c r="BT13" s="22">
        <v>0.51801437303189313</v>
      </c>
      <c r="BU13" s="23">
        <v>-37.202079565386313</v>
      </c>
      <c r="BV13" s="23">
        <v>3.8895179393589103</v>
      </c>
      <c r="BW13" s="22">
        <v>-31.268062630522635</v>
      </c>
      <c r="BX13" s="22">
        <v>0.30419642317932033</v>
      </c>
      <c r="BY13" s="22">
        <v>-30.501275250384378</v>
      </c>
      <c r="BZ13" s="22">
        <v>0.5623329604317201</v>
      </c>
      <c r="CA13" s="22">
        <v>-31.980162387418837</v>
      </c>
      <c r="CB13" s="22">
        <v>9.2997895677261553E-3</v>
      </c>
      <c r="CC13" s="22">
        <v>-31.640692365761822</v>
      </c>
      <c r="CD13" s="22">
        <v>0.40135152379988359</v>
      </c>
      <c r="CE13" s="22">
        <v>-30.580088175230856</v>
      </c>
      <c r="CF13" s="22">
        <v>0.78052146470828121</v>
      </c>
      <c r="CG13" s="22">
        <v>-36.101448444685268</v>
      </c>
      <c r="CH13" s="22">
        <v>3.268419292803746E-2</v>
      </c>
      <c r="CI13" s="22">
        <v>-32.028198237130539</v>
      </c>
      <c r="CJ13" s="22">
        <v>0.41450784554964798</v>
      </c>
      <c r="CK13" s="22">
        <v>-31.295381346409762</v>
      </c>
      <c r="CL13" s="22">
        <v>9.8882140409152344E-2</v>
      </c>
      <c r="CM13" s="22">
        <v>-33.061947546417926</v>
      </c>
      <c r="CN13" s="22">
        <v>0.28563398964201425</v>
      </c>
      <c r="CO13" s="23">
        <v>-39.51254549610033</v>
      </c>
      <c r="CP13" s="23">
        <v>6.0368723666200017</v>
      </c>
      <c r="CQ13" s="22">
        <v>-34.846213701367319</v>
      </c>
      <c r="CR13" s="22">
        <v>4.6433535298682771E-2</v>
      </c>
    </row>
    <row r="14" spans="1:96" x14ac:dyDescent="0.3">
      <c r="D14" s="5" t="s">
        <v>8</v>
      </c>
      <c r="E14" s="5" t="s">
        <v>27</v>
      </c>
      <c r="F14" s="11">
        <v>200</v>
      </c>
      <c r="G14">
        <v>11954</v>
      </c>
      <c r="H14">
        <v>11425</v>
      </c>
      <c r="I14">
        <v>12455</v>
      </c>
      <c r="J14" s="5" t="s">
        <v>24</v>
      </c>
      <c r="K14" t="s">
        <v>14</v>
      </c>
      <c r="M14" s="3" t="s">
        <v>11</v>
      </c>
      <c r="N14">
        <v>4928</v>
      </c>
      <c r="O14" s="3">
        <v>4929</v>
      </c>
      <c r="P14">
        <f t="shared" si="3"/>
        <v>0.48320780172035049</v>
      </c>
      <c r="Q14">
        <f t="shared" si="0"/>
        <v>0.37760253194418175</v>
      </c>
      <c r="R14" s="11">
        <f t="shared" si="4"/>
        <v>4.1243339998270594</v>
      </c>
      <c r="S14" s="11">
        <f t="shared" si="5"/>
        <v>28.784052670080467</v>
      </c>
      <c r="T14" s="11">
        <f t="shared" si="1"/>
        <v>25.997409993260437</v>
      </c>
      <c r="U14" s="11">
        <f t="shared" si="6"/>
        <v>0.54835314791806244</v>
      </c>
      <c r="V14" s="11">
        <f t="shared" si="2"/>
        <v>0.44370617234112641</v>
      </c>
      <c r="W14" s="11">
        <f t="shared" si="7"/>
        <v>3.9557850775364636</v>
      </c>
      <c r="X14" s="11">
        <f t="shared" si="8"/>
        <v>0.43778859353550498</v>
      </c>
      <c r="Y14">
        <v>0</v>
      </c>
      <c r="Z14">
        <v>1.1023703742130559E-2</v>
      </c>
      <c r="AA14">
        <v>1.4770322007429833E-2</v>
      </c>
      <c r="AB14">
        <v>2.2551759943051402E-2</v>
      </c>
      <c r="AC14">
        <v>8.7325025721975397E-2</v>
      </c>
      <c r="AD14">
        <v>0.12407070486241059</v>
      </c>
      <c r="AE14">
        <v>0.40303682183436468</v>
      </c>
      <c r="AF14">
        <v>0.49196809415034781</v>
      </c>
      <c r="AG14">
        <v>0.40525455929860366</v>
      </c>
      <c r="AH14">
        <v>0.20920656745987745</v>
      </c>
      <c r="AI14">
        <v>0.2681244594264931</v>
      </c>
      <c r="AJ14">
        <v>0.12751990419374157</v>
      </c>
      <c r="AK14">
        <v>0.58161360271726059</v>
      </c>
      <c r="AL14">
        <v>0.10405585433520348</v>
      </c>
      <c r="AM14">
        <v>0.5871827892873136</v>
      </c>
      <c r="AN14">
        <v>6.5950893592734594E-2</v>
      </c>
      <c r="AO14">
        <v>0.25706192747034778</v>
      </c>
      <c r="AP14">
        <v>4.059643894486107E-2</v>
      </c>
      <c r="AQ14">
        <v>6.7856141629858036E-2</v>
      </c>
      <c r="AR14">
        <v>1.2164275929326606E-2</v>
      </c>
      <c r="AS14">
        <v>8.8667312496898739E-3</v>
      </c>
      <c r="AT14">
        <v>6.5584499739441623E-2</v>
      </c>
      <c r="AU14" s="3">
        <v>4929</v>
      </c>
    </row>
    <row r="15" spans="1:96" x14ac:dyDescent="0.3">
      <c r="D15" t="s">
        <v>8</v>
      </c>
      <c r="E15" t="s">
        <v>28</v>
      </c>
      <c r="F15" s="11">
        <v>199</v>
      </c>
      <c r="G15">
        <v>11792</v>
      </c>
      <c r="H15">
        <v>11364</v>
      </c>
      <c r="I15">
        <v>12231</v>
      </c>
      <c r="J15" t="s">
        <v>24</v>
      </c>
      <c r="K15" t="s">
        <v>14</v>
      </c>
      <c r="M15" t="s">
        <v>12</v>
      </c>
      <c r="N15">
        <v>5060</v>
      </c>
      <c r="O15">
        <v>5060</v>
      </c>
      <c r="P15">
        <f t="shared" si="3"/>
        <v>0.39341381418092908</v>
      </c>
      <c r="Q15">
        <f t="shared" si="0"/>
        <v>0.51605862843693173</v>
      </c>
      <c r="R15" s="11">
        <f t="shared" si="4"/>
        <v>9.1231937466613466</v>
      </c>
      <c r="S15" s="11">
        <f t="shared" si="5"/>
        <v>29.207180840100577</v>
      </c>
      <c r="T15" s="11">
        <f t="shared" si="1"/>
        <v>26.7698231679502</v>
      </c>
      <c r="U15" s="11">
        <f t="shared" si="6"/>
        <v>0.39979812097212514</v>
      </c>
      <c r="V15" s="11">
        <f t="shared" si="2"/>
        <v>0.36069617651089481</v>
      </c>
      <c r="W15" s="11">
        <f t="shared" si="7"/>
        <v>3.6799212598425197</v>
      </c>
      <c r="X15" s="11">
        <f t="shared" si="8"/>
        <v>0.60529938059187893</v>
      </c>
      <c r="Y15">
        <v>2.5984251968503942E-3</v>
      </c>
      <c r="Z15">
        <v>2.2440944881889767E-2</v>
      </c>
      <c r="AA15">
        <v>2.7795275590551182E-2</v>
      </c>
      <c r="AB15">
        <v>3.7874015748031495E-2</v>
      </c>
      <c r="AC15">
        <v>0.13330708661417323</v>
      </c>
      <c r="AD15">
        <v>6.1968503937007882E-2</v>
      </c>
      <c r="AE15">
        <v>0.28031496062992134</v>
      </c>
      <c r="AF15">
        <v>0.25291338582677164</v>
      </c>
      <c r="AG15">
        <v>0.40543307086614183</v>
      </c>
      <c r="AH15">
        <v>0.13700787401574804</v>
      </c>
      <c r="AI15">
        <v>0.21629921259842519</v>
      </c>
      <c r="AJ15">
        <v>9.700787401574805E-2</v>
      </c>
      <c r="AK15">
        <v>0.61503937007874021</v>
      </c>
      <c r="AL15">
        <v>1.1417322834645669E-2</v>
      </c>
      <c r="AM15">
        <v>0.68645669291338596</v>
      </c>
      <c r="AN15">
        <v>4.5669291338582677E-2</v>
      </c>
      <c r="AO15">
        <v>0.41551181102362217</v>
      </c>
      <c r="AP15">
        <v>2.3622047244094491E-2</v>
      </c>
      <c r="AQ15">
        <v>0.18204724409448822</v>
      </c>
      <c r="AR15">
        <v>5.8267716535433068E-3</v>
      </c>
      <c r="AS15">
        <v>1.1102362204724409E-2</v>
      </c>
      <c r="AT15">
        <v>8.2677165354330725E-3</v>
      </c>
      <c r="AU15">
        <v>5060</v>
      </c>
      <c r="AV15" s="21">
        <v>5060</v>
      </c>
      <c r="AW15" s="22">
        <v>-209.14595835381863</v>
      </c>
      <c r="AX15" s="22">
        <v>3.7884649869195939</v>
      </c>
      <c r="AY15" s="22">
        <v>-175.56300801420406</v>
      </c>
      <c r="AZ15" s="22">
        <v>1.5756538298385487</v>
      </c>
      <c r="BA15" s="22">
        <v>-194.69467873006636</v>
      </c>
      <c r="BB15" s="22">
        <v>4.8990668605444085</v>
      </c>
      <c r="BC15" s="22">
        <v>-191.59877402249026</v>
      </c>
      <c r="BD15" s="22">
        <v>3.0675448523565656</v>
      </c>
      <c r="BE15" s="22">
        <v>-203.98685092850818</v>
      </c>
      <c r="BF15" s="22">
        <v>0.14373427189148866</v>
      </c>
      <c r="BG15" s="22">
        <v>-209.81221477335961</v>
      </c>
      <c r="BH15" s="22">
        <v>1.6947871037668214</v>
      </c>
      <c r="BI15" s="22">
        <v>-209.26160382028309</v>
      </c>
      <c r="BJ15" s="22">
        <v>3.4256933905294176</v>
      </c>
      <c r="BK15" s="22">
        <v>-207.1166429786486</v>
      </c>
      <c r="BL15" s="22">
        <v>3.0674852211651946</v>
      </c>
      <c r="BM15" s="22">
        <v>-204.85493582552016</v>
      </c>
      <c r="BN15" s="22">
        <v>8.5776921482564605E-2</v>
      </c>
      <c r="BO15" s="22">
        <v>-189.46402778809829</v>
      </c>
      <c r="BP15" s="22">
        <v>0.90503237183933438</v>
      </c>
      <c r="BQ15" s="23" t="s">
        <v>77</v>
      </c>
      <c r="BR15" s="23" t="s">
        <v>77</v>
      </c>
      <c r="BS15" s="22">
        <v>-33.295030512240196</v>
      </c>
      <c r="BT15" s="22">
        <v>0.51374637894581654</v>
      </c>
      <c r="BU15" s="22">
        <v>-32.887806778559678</v>
      </c>
      <c r="BV15" s="22">
        <v>0.49556759701013464</v>
      </c>
      <c r="BW15" s="22">
        <v>-31.771838980726255</v>
      </c>
      <c r="BX15" s="22">
        <v>0.10426124945108567</v>
      </c>
      <c r="BY15" s="22">
        <v>-31.704814870412498</v>
      </c>
      <c r="BZ15" s="22">
        <v>4.0994540457158057E-2</v>
      </c>
      <c r="CA15" s="22">
        <v>-33.172372903746989</v>
      </c>
      <c r="CB15" s="22">
        <v>0.28115875016371361</v>
      </c>
      <c r="CC15" s="22">
        <v>-32.593208240281179</v>
      </c>
      <c r="CD15" s="22">
        <v>9.0818150864985847E-2</v>
      </c>
      <c r="CE15" s="22">
        <v>-32.494412687152277</v>
      </c>
      <c r="CF15" s="22">
        <v>0.18447292024117357</v>
      </c>
      <c r="CG15" s="22">
        <v>-34.090099431984051</v>
      </c>
      <c r="CH15" s="22">
        <v>5.5042628260494997E-2</v>
      </c>
      <c r="CI15" s="22">
        <v>-31.608384589859188</v>
      </c>
      <c r="CJ15" s="22">
        <v>8.9787640644853617E-2</v>
      </c>
      <c r="CK15" s="22">
        <v>-33.254658186583164</v>
      </c>
      <c r="CL15" s="22">
        <v>8.8172804463898403E-3</v>
      </c>
      <c r="CM15" s="22">
        <v>-33.154116283236995</v>
      </c>
      <c r="CN15" s="22">
        <v>0.18425855157014998</v>
      </c>
      <c r="CO15" s="22">
        <v>-36.731337530192889</v>
      </c>
      <c r="CP15" s="22">
        <v>0.22060687271318763</v>
      </c>
      <c r="CQ15" s="22">
        <v>-34.667459665936903</v>
      </c>
      <c r="CR15" s="22">
        <v>9.1467533844830279E-2</v>
      </c>
    </row>
    <row r="16" spans="1:96" x14ac:dyDescent="0.3">
      <c r="D16" s="2" t="s">
        <v>29</v>
      </c>
      <c r="E16" s="2" t="s">
        <v>30</v>
      </c>
      <c r="F16" s="11">
        <v>198</v>
      </c>
      <c r="G16">
        <v>11630</v>
      </c>
      <c r="H16">
        <v>11262</v>
      </c>
      <c r="I16">
        <v>12071</v>
      </c>
      <c r="J16" s="2" t="s">
        <v>31</v>
      </c>
      <c r="K16" t="s">
        <v>14</v>
      </c>
      <c r="L16" s="2" t="s">
        <v>11</v>
      </c>
      <c r="M16" t="s">
        <v>12</v>
      </c>
      <c r="N16">
        <v>5059</v>
      </c>
      <c r="O16">
        <v>5059</v>
      </c>
      <c r="P16">
        <f t="shared" si="3"/>
        <v>0.30313588850174217</v>
      </c>
      <c r="Q16">
        <f t="shared" si="0"/>
        <v>0.51311365164761269</v>
      </c>
      <c r="R16" s="11">
        <f t="shared" si="4"/>
        <v>7.0792682926829276</v>
      </c>
      <c r="S16" s="11">
        <f t="shared" si="5"/>
        <v>29.271297509829623</v>
      </c>
      <c r="T16" s="11">
        <f t="shared" si="1"/>
        <v>27.119068934646375</v>
      </c>
      <c r="U16" s="11">
        <f t="shared" si="6"/>
        <v>0.32830188679245281</v>
      </c>
      <c r="V16" s="11">
        <f t="shared" si="2"/>
        <v>0.30897250361794504</v>
      </c>
      <c r="W16" s="11">
        <f t="shared" si="7"/>
        <v>0.2155072463768116</v>
      </c>
      <c r="X16" s="11">
        <f t="shared" si="8"/>
        <v>0.75874769797421737</v>
      </c>
      <c r="Y16">
        <v>1.9565217391304349E-3</v>
      </c>
      <c r="Z16">
        <v>0</v>
      </c>
      <c r="AA16">
        <v>0</v>
      </c>
      <c r="AB16">
        <v>2.1739130434782605E-3</v>
      </c>
      <c r="AC16">
        <v>4.9999999999999992E-3</v>
      </c>
      <c r="AD16">
        <v>5.3623188405797096E-3</v>
      </c>
      <c r="AE16">
        <v>1.5362318840579712E-2</v>
      </c>
      <c r="AF16">
        <v>2.0362318840579711E-2</v>
      </c>
      <c r="AG16">
        <v>1.8913043478260869E-2</v>
      </c>
      <c r="AH16">
        <v>1.0144927536231883E-2</v>
      </c>
      <c r="AI16">
        <v>1.2028985507246378E-2</v>
      </c>
      <c r="AJ16">
        <v>8.5507246376811587E-3</v>
      </c>
      <c r="AK16">
        <v>3.2536231884057971E-2</v>
      </c>
      <c r="AL16">
        <v>9.4202898550724637E-4</v>
      </c>
      <c r="AM16">
        <v>3.9347826086956521E-2</v>
      </c>
      <c r="AN16">
        <v>4.1304347826086954E-3</v>
      </c>
      <c r="AO16">
        <v>2.9855072463768118E-2</v>
      </c>
      <c r="AP16">
        <v>0</v>
      </c>
      <c r="AQ16">
        <v>8.8405797101449267E-3</v>
      </c>
      <c r="AR16">
        <v>0</v>
      </c>
      <c r="AS16">
        <v>0</v>
      </c>
      <c r="AT16">
        <v>0</v>
      </c>
      <c r="AU16">
        <v>5059</v>
      </c>
      <c r="AV16" s="21">
        <v>5059</v>
      </c>
      <c r="AW16" s="23" t="s">
        <v>77</v>
      </c>
      <c r="AX16" s="23" t="s">
        <v>77</v>
      </c>
      <c r="AY16" s="23" t="s">
        <v>77</v>
      </c>
      <c r="AZ16" s="23" t="s">
        <v>77</v>
      </c>
      <c r="BA16" s="23" t="s">
        <v>77</v>
      </c>
      <c r="BB16" s="23" t="s">
        <v>77</v>
      </c>
      <c r="BC16" s="23" t="s">
        <v>77</v>
      </c>
      <c r="BD16" s="23" t="s">
        <v>77</v>
      </c>
      <c r="BE16" s="23" t="s">
        <v>77</v>
      </c>
      <c r="BF16" s="23" t="s">
        <v>77</v>
      </c>
      <c r="BG16" s="23" t="s">
        <v>77</v>
      </c>
      <c r="BH16" s="23" t="s">
        <v>77</v>
      </c>
      <c r="BI16" s="23" t="s">
        <v>77</v>
      </c>
      <c r="BJ16" s="23" t="s">
        <v>77</v>
      </c>
      <c r="BK16" s="23" t="s">
        <v>77</v>
      </c>
      <c r="BL16" s="23" t="s">
        <v>77</v>
      </c>
      <c r="BM16" s="23" t="s">
        <v>77</v>
      </c>
      <c r="BN16" s="23" t="s">
        <v>77</v>
      </c>
      <c r="BO16" s="23" t="s">
        <v>77</v>
      </c>
      <c r="BP16" s="23" t="s">
        <v>77</v>
      </c>
      <c r="BQ16" s="23" t="s">
        <v>77</v>
      </c>
      <c r="BR16" s="23" t="s">
        <v>77</v>
      </c>
      <c r="BS16" s="23" t="s">
        <v>77</v>
      </c>
      <c r="BT16" s="23" t="s">
        <v>77</v>
      </c>
      <c r="BU16" s="23" t="s">
        <v>77</v>
      </c>
      <c r="BV16" s="23" t="s">
        <v>77</v>
      </c>
      <c r="BW16" s="22">
        <v>-33.484353698616687</v>
      </c>
      <c r="BX16" s="22">
        <v>0.28649060128757381</v>
      </c>
      <c r="BY16" s="22">
        <v>-31.998706334905275</v>
      </c>
      <c r="BZ16" s="22">
        <v>0.47440761813557875</v>
      </c>
      <c r="CA16" s="22">
        <v>-31.212168441662794</v>
      </c>
      <c r="CB16" s="22">
        <v>0.80170363318768278</v>
      </c>
      <c r="CC16" s="22">
        <v>-31.372487968470793</v>
      </c>
      <c r="CD16" s="22">
        <v>1.6045266226763564</v>
      </c>
      <c r="CE16" s="22">
        <v>-32.044840126675865</v>
      </c>
      <c r="CF16" s="22">
        <v>0.38897443454871189</v>
      </c>
      <c r="CG16" s="22">
        <v>-30.704551233034291</v>
      </c>
      <c r="CH16" s="22">
        <v>5.7287663236273351E-2</v>
      </c>
      <c r="CI16" s="22">
        <v>-32.131117909359951</v>
      </c>
      <c r="CJ16" s="22">
        <v>1.1413343210345939</v>
      </c>
      <c r="CK16" s="22">
        <v>-37.442042298333064</v>
      </c>
      <c r="CL16" s="22">
        <v>1.5937151812882684</v>
      </c>
      <c r="CM16" s="22">
        <v>-36.103669581648504</v>
      </c>
      <c r="CN16" s="22">
        <v>0.10580375517826436</v>
      </c>
      <c r="CO16" s="23" t="s">
        <v>77</v>
      </c>
      <c r="CP16" s="23" t="s">
        <v>77</v>
      </c>
      <c r="CQ16" s="22">
        <v>-38.856613577929437</v>
      </c>
      <c r="CR16" s="22">
        <v>1.4658154441462214E-2</v>
      </c>
    </row>
    <row r="17" spans="1:96" x14ac:dyDescent="0.3">
      <c r="D17" t="s">
        <v>29</v>
      </c>
      <c r="E17" t="s">
        <v>32</v>
      </c>
      <c r="F17" s="11">
        <v>197</v>
      </c>
      <c r="G17">
        <v>11468</v>
      </c>
      <c r="H17">
        <v>11083</v>
      </c>
      <c r="I17">
        <v>11963</v>
      </c>
      <c r="J17" t="s">
        <v>31</v>
      </c>
      <c r="K17" t="s">
        <v>14</v>
      </c>
      <c r="M17" t="s">
        <v>12</v>
      </c>
      <c r="N17">
        <v>5058</v>
      </c>
      <c r="O17">
        <v>5058</v>
      </c>
      <c r="P17">
        <f t="shared" si="3"/>
        <v>0.16108083033746956</v>
      </c>
      <c r="Q17">
        <f t="shared" si="0"/>
        <v>0.57881929533975429</v>
      </c>
      <c r="R17" s="11">
        <f t="shared" si="4"/>
        <v>4.6147300248029701</v>
      </c>
      <c r="S17" s="11">
        <f t="shared" si="5"/>
        <v>28.838657586182684</v>
      </c>
      <c r="T17" s="11">
        <f t="shared" si="1"/>
        <v>27.443282294587018</v>
      </c>
      <c r="U17" s="11">
        <f t="shared" si="6"/>
        <v>0.27337138358590829</v>
      </c>
      <c r="V17" s="11">
        <f t="shared" si="2"/>
        <v>0.25986213769620459</v>
      </c>
      <c r="W17" s="11">
        <f t="shared" si="7"/>
        <v>3.6713963963963963</v>
      </c>
      <c r="X17" s="11">
        <f t="shared" si="8"/>
        <v>0.64428044280442809</v>
      </c>
      <c r="Y17">
        <v>3.3783783783783786E-3</v>
      </c>
      <c r="Z17">
        <v>8.0330330330330331E-3</v>
      </c>
      <c r="AA17">
        <v>1.1786786786786789E-2</v>
      </c>
      <c r="AB17">
        <v>1.3738738738738741E-2</v>
      </c>
      <c r="AC17">
        <v>4.6096096096096092E-2</v>
      </c>
      <c r="AD17">
        <v>4.6396396396396394E-2</v>
      </c>
      <c r="AE17">
        <v>0.14399399399399401</v>
      </c>
      <c r="AF17">
        <v>0.17447447447447445</v>
      </c>
      <c r="AG17">
        <v>0.20855855855855859</v>
      </c>
      <c r="AH17">
        <v>0.15983483483483482</v>
      </c>
      <c r="AI17">
        <v>0.26126126126126126</v>
      </c>
      <c r="AJ17">
        <v>0.23040540540540544</v>
      </c>
      <c r="AK17">
        <v>0.77042042042042047</v>
      </c>
      <c r="AL17">
        <v>2.5900900900900903E-2</v>
      </c>
      <c r="AM17">
        <v>0.8138138138138139</v>
      </c>
      <c r="AN17">
        <v>0.12530030030030032</v>
      </c>
      <c r="AO17">
        <v>0.52432432432432441</v>
      </c>
      <c r="AP17">
        <v>5.6981981981981983E-2</v>
      </c>
      <c r="AQ17">
        <v>1.6516516516516519E-2</v>
      </c>
      <c r="AR17">
        <v>1.666666666666667E-2</v>
      </c>
      <c r="AS17">
        <v>1.3513513513513514E-2</v>
      </c>
      <c r="AT17">
        <v>0</v>
      </c>
      <c r="AU17">
        <v>5058</v>
      </c>
      <c r="AV17" s="21">
        <v>5058</v>
      </c>
      <c r="AW17" s="22">
        <v>-198.05862160812217</v>
      </c>
      <c r="AX17" s="22">
        <v>2.8612908407884623</v>
      </c>
      <c r="AY17" s="22">
        <v>-195.8753639314136</v>
      </c>
      <c r="AZ17" s="22">
        <v>4.9561049742052372</v>
      </c>
      <c r="BA17" s="22">
        <v>-185.94935440652543</v>
      </c>
      <c r="BB17" s="22">
        <v>0.97018330324816127</v>
      </c>
      <c r="BC17" s="22">
        <v>-186.15416151496743</v>
      </c>
      <c r="BD17" s="22">
        <v>4.8025193423046719</v>
      </c>
      <c r="BE17" s="22">
        <v>-207.01568093094608</v>
      </c>
      <c r="BF17" s="22">
        <v>2.4162269768280589</v>
      </c>
      <c r="BG17" s="22">
        <v>-210.853227038792</v>
      </c>
      <c r="BH17" s="22">
        <v>2.1294908889417652</v>
      </c>
      <c r="BI17" s="22">
        <v>-205.91704545055177</v>
      </c>
      <c r="BJ17" s="22">
        <v>1.1026282622999797</v>
      </c>
      <c r="BK17" s="22">
        <v>-204.76486936161353</v>
      </c>
      <c r="BL17" s="22">
        <v>0.19524814942577465</v>
      </c>
      <c r="BM17" s="22">
        <v>-204.85172952469327</v>
      </c>
      <c r="BN17" s="22">
        <v>0.27427411273673868</v>
      </c>
      <c r="BO17" s="23">
        <v>-198.47272656882419</v>
      </c>
      <c r="BP17" s="23">
        <v>6.4292250766698231</v>
      </c>
      <c r="BQ17" s="23" t="s">
        <v>77</v>
      </c>
      <c r="BR17" s="23" t="s">
        <v>77</v>
      </c>
      <c r="BS17" s="22">
        <v>-33.927605230952231</v>
      </c>
      <c r="BT17" s="22">
        <v>4.9704261335761835E-2</v>
      </c>
      <c r="BU17" s="22">
        <v>-33.885161338013873</v>
      </c>
      <c r="BV17" s="22">
        <v>0.44662946679795357</v>
      </c>
      <c r="BW17" s="22">
        <v>-32.778436953664666</v>
      </c>
      <c r="BX17" s="22">
        <v>0.65755090779189618</v>
      </c>
      <c r="BY17" s="22">
        <v>-31.591578517685669</v>
      </c>
      <c r="BZ17" s="22">
        <v>0.18757713567793852</v>
      </c>
      <c r="CA17" s="22">
        <v>-32.2909392597928</v>
      </c>
      <c r="CB17" s="22">
        <v>0.23608921793940546</v>
      </c>
      <c r="CC17" s="22">
        <v>-32.205514339145296</v>
      </c>
      <c r="CD17" s="22">
        <v>6.3707665427301038E-2</v>
      </c>
      <c r="CE17" s="22">
        <v>-31.943738556246927</v>
      </c>
      <c r="CF17" s="22">
        <v>4.1894457274961959E-2</v>
      </c>
      <c r="CG17" s="22">
        <v>-31.881232048210443</v>
      </c>
      <c r="CH17" s="22">
        <v>6.254244381144046E-2</v>
      </c>
      <c r="CI17" s="22">
        <v>-31.654380456120577</v>
      </c>
      <c r="CJ17" s="22">
        <v>2.0575086418847034E-3</v>
      </c>
      <c r="CK17" s="22">
        <v>-32.335023930458206</v>
      </c>
      <c r="CL17" s="22">
        <v>0.10769521503335305</v>
      </c>
      <c r="CM17" s="22">
        <v>-32.590461824164166</v>
      </c>
      <c r="CN17" s="22">
        <v>8.5535569427870661E-2</v>
      </c>
      <c r="CO17" s="22">
        <v>-33.198652107756025</v>
      </c>
      <c r="CP17" s="22">
        <v>0.26071935024557935</v>
      </c>
      <c r="CQ17" s="22">
        <v>-33.975273528370693</v>
      </c>
      <c r="CR17" s="22">
        <v>2.6264127439352802E-2</v>
      </c>
    </row>
    <row r="18" spans="1:96" x14ac:dyDescent="0.3">
      <c r="A18">
        <v>196</v>
      </c>
      <c r="B18" s="1">
        <v>11310</v>
      </c>
      <c r="C18">
        <v>140</v>
      </c>
      <c r="D18" s="2" t="s">
        <v>29</v>
      </c>
      <c r="E18" s="2" t="s">
        <v>33</v>
      </c>
      <c r="F18" s="11">
        <v>196</v>
      </c>
      <c r="G18">
        <v>11400</v>
      </c>
      <c r="H18">
        <v>11045</v>
      </c>
      <c r="I18">
        <v>11840</v>
      </c>
      <c r="J18" s="2" t="s">
        <v>31</v>
      </c>
      <c r="K18" s="1" t="s">
        <v>11</v>
      </c>
      <c r="L18" s="2" t="s">
        <v>11</v>
      </c>
      <c r="M18" t="s">
        <v>12</v>
      </c>
      <c r="N18" s="2" t="s">
        <v>11</v>
      </c>
    </row>
    <row r="19" spans="1:96" x14ac:dyDescent="0.3">
      <c r="D19" t="s">
        <v>29</v>
      </c>
      <c r="E19" t="s">
        <v>34</v>
      </c>
      <c r="F19" s="11">
        <v>195</v>
      </c>
      <c r="G19">
        <v>11332</v>
      </c>
      <c r="H19">
        <v>10987</v>
      </c>
      <c r="I19">
        <v>11740</v>
      </c>
      <c r="J19" t="s">
        <v>31</v>
      </c>
      <c r="K19" t="s">
        <v>14</v>
      </c>
      <c r="M19" t="s">
        <v>12</v>
      </c>
      <c r="N19">
        <v>5057</v>
      </c>
      <c r="O19">
        <v>5057</v>
      </c>
      <c r="P19">
        <f t="shared" ref="P19:P28" si="9">AG19/(AK19+AO19)</f>
        <v>0.1560077519379845</v>
      </c>
      <c r="Q19">
        <f t="shared" si="0"/>
        <v>0.62455989519364619</v>
      </c>
      <c r="R19" s="11">
        <f t="shared" ref="R19:R28" si="10">0.5*(((AI19+AK19+AM19+AO19+AQ19)/(AH19+AJ19+AL19+AN19+AP19))+((AI19+AK19+AM19+AO19+AQ19)/(AJ19+AL19+AN19+AP19+AR19)))</f>
        <v>7.0807704874360526</v>
      </c>
      <c r="S19" s="11">
        <f t="shared" ref="S19:S28" si="11">((27*AK19)+(29*AM19)+(31*AO19)+(33*AQ19)+(35*AS19))/(AK19+AM19+AO19+AQ19+AS19)</f>
        <v>28.990471528797521</v>
      </c>
      <c r="T19" s="11">
        <f t="shared" si="1"/>
        <v>27.596873735329833</v>
      </c>
      <c r="U19" s="11">
        <f t="shared" ref="U19:U28" si="12">AG19/(AG19+AO19+AQ19+AS19)</f>
        <v>0.2407423696015481</v>
      </c>
      <c r="V19" s="11">
        <f t="shared" si="2"/>
        <v>0.25680331758443542</v>
      </c>
      <c r="W19" s="11">
        <f t="shared" ref="W19:W28" si="13">SUM(Y19:AT19)</f>
        <v>6.3279792746113994</v>
      </c>
      <c r="X19" s="11">
        <f t="shared" ref="X19:X28" si="14">AO19/AM19</f>
        <v>0.60240213523131658</v>
      </c>
      <c r="Y19">
        <v>2.0725388601036268E-3</v>
      </c>
      <c r="Z19">
        <v>7.8367875647668388E-3</v>
      </c>
      <c r="AA19">
        <v>2.19559585492228E-2</v>
      </c>
      <c r="AB19">
        <v>2.7007772020725393E-2</v>
      </c>
      <c r="AC19">
        <v>0.10349740932642489</v>
      </c>
      <c r="AD19">
        <v>8.2059585492227985E-2</v>
      </c>
      <c r="AE19">
        <v>0.25939119170984454</v>
      </c>
      <c r="AF19">
        <v>0.290479274611399</v>
      </c>
      <c r="AG19">
        <v>0.35453367875647673</v>
      </c>
      <c r="AH19">
        <v>0.22383419689119174</v>
      </c>
      <c r="AI19">
        <v>0.45161917098445603</v>
      </c>
      <c r="AJ19">
        <v>0.29488341968911919</v>
      </c>
      <c r="AK19">
        <v>1.3954663212435237</v>
      </c>
      <c r="AL19">
        <v>3.4326424870466325E-2</v>
      </c>
      <c r="AM19">
        <v>1.4559585492227982</v>
      </c>
      <c r="AN19">
        <v>0.13173575129533679</v>
      </c>
      <c r="AO19">
        <v>0.87707253886010361</v>
      </c>
      <c r="AP19">
        <v>5.9520725388601044E-2</v>
      </c>
      <c r="AQ19">
        <v>0.22370466321243526</v>
      </c>
      <c r="AR19">
        <v>1.3665803108808289E-2</v>
      </c>
      <c r="AS19">
        <v>1.7357512953367876E-2</v>
      </c>
      <c r="AT19">
        <v>0</v>
      </c>
      <c r="AU19">
        <v>5057</v>
      </c>
      <c r="AV19" s="21">
        <v>5057</v>
      </c>
      <c r="AW19" s="22">
        <v>-204.60068394291716</v>
      </c>
      <c r="AX19" s="22">
        <v>0.89437201700711144</v>
      </c>
      <c r="AY19" s="22">
        <v>-184.63515762926716</v>
      </c>
      <c r="AZ19" s="22">
        <v>3.7574168428880648</v>
      </c>
      <c r="BA19" s="22">
        <v>-198.12773655640797</v>
      </c>
      <c r="BB19" s="22">
        <v>3.091548565980597</v>
      </c>
      <c r="BC19" s="22">
        <v>-199.91225374861745</v>
      </c>
      <c r="BD19" s="22">
        <v>1.6279668434132604</v>
      </c>
      <c r="BE19" s="22">
        <v>-209.77288261889066</v>
      </c>
      <c r="BF19" s="22">
        <v>1.9568515443407652</v>
      </c>
      <c r="BG19" s="22">
        <v>-222.92345727743171</v>
      </c>
      <c r="BH19" s="22">
        <v>2.9639773128453286</v>
      </c>
      <c r="BI19" s="22">
        <v>-208.15773563954531</v>
      </c>
      <c r="BJ19" s="22">
        <v>0.18371425211749862</v>
      </c>
      <c r="BK19" s="22">
        <v>-223.45740592249683</v>
      </c>
      <c r="BL19" s="22">
        <v>0.36202265655739563</v>
      </c>
      <c r="BM19" s="22">
        <v>-209.21116752752249</v>
      </c>
      <c r="BN19" s="22">
        <v>0.83540259693350971</v>
      </c>
      <c r="BO19" s="22">
        <v>-208.35342180596723</v>
      </c>
      <c r="BP19" s="22">
        <v>0.60462575327893808</v>
      </c>
      <c r="BQ19" s="22">
        <v>-195.96281342256094</v>
      </c>
      <c r="BR19" s="22">
        <v>0.67394525359791779</v>
      </c>
      <c r="BS19" s="22">
        <v>-31.910581804794955</v>
      </c>
      <c r="BT19" s="22">
        <v>0.99125042283663545</v>
      </c>
      <c r="BU19" s="22">
        <v>-35.769271405996669</v>
      </c>
      <c r="BV19" s="22">
        <v>0.91480078388162511</v>
      </c>
      <c r="BW19" s="22">
        <v>-32.323876339139872</v>
      </c>
      <c r="BX19" s="22">
        <v>5.0781098555160331E-2</v>
      </c>
      <c r="BY19" s="22">
        <v>-31.516996793847113</v>
      </c>
      <c r="BZ19" s="22">
        <v>2.3698262213671061E-2</v>
      </c>
      <c r="CA19" s="22">
        <v>-32.301043413217684</v>
      </c>
      <c r="CB19" s="22">
        <v>0.24019162669202629</v>
      </c>
      <c r="CC19" s="22">
        <v>-32.40596840160481</v>
      </c>
      <c r="CD19" s="22">
        <v>9.3531188010613445E-3</v>
      </c>
      <c r="CE19" s="22">
        <v>-32.388437272475294</v>
      </c>
      <c r="CF19" s="22">
        <v>7.7585602913064836E-2</v>
      </c>
      <c r="CG19" s="22">
        <v>-32.691137182928024</v>
      </c>
      <c r="CH19" s="22">
        <v>0.19932759114434126</v>
      </c>
      <c r="CI19" s="22">
        <v>-32.005900691402751</v>
      </c>
      <c r="CJ19" s="22">
        <v>0.15554788738552178</v>
      </c>
      <c r="CK19" s="22">
        <v>-33.602708200889438</v>
      </c>
      <c r="CL19" s="22">
        <v>0.25320226954327041</v>
      </c>
      <c r="CM19" s="22">
        <v>-32.894704613757881</v>
      </c>
      <c r="CN19" s="22">
        <v>0.14153127883440961</v>
      </c>
      <c r="CO19" s="22">
        <v>-34.907915832957357</v>
      </c>
      <c r="CP19" s="22">
        <v>0.18366153766199242</v>
      </c>
      <c r="CQ19" s="22">
        <v>-34.495094552208933</v>
      </c>
      <c r="CR19" s="22">
        <v>0.30591790331284796</v>
      </c>
    </row>
    <row r="20" spans="1:96" x14ac:dyDescent="0.3">
      <c r="D20" t="s">
        <v>29</v>
      </c>
      <c r="E20" t="s">
        <v>35</v>
      </c>
      <c r="F20" s="11">
        <v>193</v>
      </c>
      <c r="G20">
        <v>11196</v>
      </c>
      <c r="H20">
        <v>10825</v>
      </c>
      <c r="I20">
        <v>11632</v>
      </c>
      <c r="J20" t="s">
        <v>31</v>
      </c>
      <c r="K20" t="s">
        <v>14</v>
      </c>
      <c r="M20" t="s">
        <v>12</v>
      </c>
      <c r="N20">
        <v>5056</v>
      </c>
      <c r="O20">
        <v>5056</v>
      </c>
      <c r="P20">
        <f t="shared" si="9"/>
        <v>0.15447667087011352</v>
      </c>
      <c r="Q20">
        <f t="shared" si="0"/>
        <v>0.48274111675126896</v>
      </c>
      <c r="R20" s="11">
        <f t="shared" si="10"/>
        <v>3.7402847371351307</v>
      </c>
      <c r="S20" s="11">
        <f t="shared" si="11"/>
        <v>29.31265334735366</v>
      </c>
      <c r="T20" s="11">
        <f t="shared" si="1"/>
        <v>27.249875311720693</v>
      </c>
      <c r="U20" s="11">
        <f t="shared" si="12"/>
        <v>0.19429024583663757</v>
      </c>
      <c r="V20" s="11">
        <f t="shared" si="2"/>
        <v>0.2573467674223342</v>
      </c>
      <c r="W20" s="11">
        <f t="shared" si="13"/>
        <v>0.39717741935483875</v>
      </c>
      <c r="X20" s="11">
        <f t="shared" si="14"/>
        <v>0.75148514851485149</v>
      </c>
      <c r="Y20">
        <v>2.2849462365591398E-3</v>
      </c>
      <c r="Z20">
        <v>0</v>
      </c>
      <c r="AA20">
        <v>7.1236559139784949E-3</v>
      </c>
      <c r="AB20">
        <v>1.65994623655914E-2</v>
      </c>
      <c r="AC20">
        <v>2.0698924731182799E-2</v>
      </c>
      <c r="AD20">
        <v>2.0497311827956988E-2</v>
      </c>
      <c r="AE20">
        <v>1.5860215053763439E-2</v>
      </c>
      <c r="AF20">
        <v>1.4650537634408604E-2</v>
      </c>
      <c r="AG20">
        <v>1.6465053763440859E-2</v>
      </c>
      <c r="AH20">
        <v>1.5322580645161288E-2</v>
      </c>
      <c r="AI20">
        <v>2.4731182795698928E-2</v>
      </c>
      <c r="AJ20">
        <v>2.5268817204301075E-2</v>
      </c>
      <c r="AK20">
        <v>5.5577956989247307E-2</v>
      </c>
      <c r="AL20">
        <v>2.6881720430107529E-3</v>
      </c>
      <c r="AM20">
        <v>6.7876344086021501E-2</v>
      </c>
      <c r="AN20">
        <v>1.4852150537634407E-2</v>
      </c>
      <c r="AO20">
        <v>5.1008064516129027E-2</v>
      </c>
      <c r="AP20">
        <v>8.4005376344086016E-3</v>
      </c>
      <c r="AQ20">
        <v>1.7271505376344084E-2</v>
      </c>
      <c r="AR20">
        <v>0</v>
      </c>
      <c r="AS20">
        <v>0</v>
      </c>
      <c r="AT20">
        <v>0</v>
      </c>
      <c r="AU20">
        <v>5056</v>
      </c>
      <c r="AV20" s="21">
        <v>5056</v>
      </c>
      <c r="AW20" s="23" t="s">
        <v>77</v>
      </c>
      <c r="AX20" s="23" t="s">
        <v>77</v>
      </c>
      <c r="AY20" s="23" t="s">
        <v>77</v>
      </c>
      <c r="AZ20" s="23" t="s">
        <v>77</v>
      </c>
      <c r="BA20" s="23" t="s">
        <v>77</v>
      </c>
      <c r="BB20" s="23" t="s">
        <v>77</v>
      </c>
      <c r="BC20" s="23" t="s">
        <v>77</v>
      </c>
      <c r="BD20" s="23" t="s">
        <v>77</v>
      </c>
      <c r="BE20" s="23" t="s">
        <v>77</v>
      </c>
      <c r="BF20" s="23" t="s">
        <v>77</v>
      </c>
      <c r="BG20" s="23" t="s">
        <v>77</v>
      </c>
      <c r="BH20" s="23" t="s">
        <v>77</v>
      </c>
      <c r="BI20" s="23">
        <v>-117.77231512996241</v>
      </c>
      <c r="BJ20" s="23">
        <v>63.41576500028583</v>
      </c>
      <c r="BK20" s="23">
        <v>-210.83912946866332</v>
      </c>
      <c r="BL20" s="23">
        <v>31.336677306070694</v>
      </c>
      <c r="BM20" s="23">
        <v>-145.74586456449708</v>
      </c>
      <c r="BN20" s="23">
        <v>14.100345764269616</v>
      </c>
      <c r="BO20" s="23">
        <v>-203.70239802972196</v>
      </c>
      <c r="BP20" s="23">
        <v>57.400041743210018</v>
      </c>
      <c r="BQ20" s="23">
        <v>-128.8652916726312</v>
      </c>
      <c r="BR20" s="23">
        <v>38.234190703242064</v>
      </c>
      <c r="BS20" s="22">
        <v>-26.261892893316947</v>
      </c>
      <c r="BT20" s="22">
        <v>0.36067419274422108</v>
      </c>
      <c r="BU20" s="22">
        <v>-26.593790838586077</v>
      </c>
      <c r="BV20" s="22">
        <v>1.4038563651033118E-2</v>
      </c>
      <c r="BW20" s="22">
        <v>-29.124229901711587</v>
      </c>
      <c r="BX20" s="22">
        <v>0.71343628944811976</v>
      </c>
      <c r="BY20" s="22">
        <v>-28.917842389034043</v>
      </c>
      <c r="BZ20" s="22">
        <v>0.86815830788899817</v>
      </c>
      <c r="CA20" s="22">
        <v>-30.045007169994939</v>
      </c>
      <c r="CB20" s="22">
        <v>0.13638337983163742</v>
      </c>
      <c r="CC20" s="22">
        <v>-31.450794339489605</v>
      </c>
      <c r="CD20" s="22">
        <v>0.27728510449672156</v>
      </c>
      <c r="CE20" s="22">
        <v>-31.396455872043628</v>
      </c>
      <c r="CF20" s="22">
        <v>0.30285141994894105</v>
      </c>
      <c r="CG20" s="22">
        <v>-30.751909142069117</v>
      </c>
      <c r="CH20" s="22">
        <v>0.66784989666356831</v>
      </c>
      <c r="CI20" s="22">
        <v>-31.02919366994654</v>
      </c>
      <c r="CJ20" s="22">
        <v>0.10330176239203587</v>
      </c>
      <c r="CK20" s="22">
        <v>-30.993939226261364</v>
      </c>
      <c r="CL20" s="22">
        <v>1.5182045247941813</v>
      </c>
      <c r="CM20" s="22">
        <v>-32.607939767123199</v>
      </c>
      <c r="CN20" s="22">
        <v>0.22912933743670247</v>
      </c>
      <c r="CO20" s="22">
        <v>-34.298823125347774</v>
      </c>
      <c r="CP20" s="22">
        <v>0.58332226554778455</v>
      </c>
      <c r="CQ20" s="22">
        <v>-34.79715649655229</v>
      </c>
      <c r="CR20" s="22">
        <v>0.83431273550178309</v>
      </c>
    </row>
    <row r="21" spans="1:96" x14ac:dyDescent="0.3">
      <c r="D21" s="2" t="s">
        <v>29</v>
      </c>
      <c r="E21" s="2" t="s">
        <v>36</v>
      </c>
      <c r="F21" s="11">
        <v>192</v>
      </c>
      <c r="G21">
        <v>11127</v>
      </c>
      <c r="H21">
        <v>10697</v>
      </c>
      <c r="I21">
        <v>11600</v>
      </c>
      <c r="J21" s="2" t="s">
        <v>31</v>
      </c>
      <c r="K21" t="s">
        <v>14</v>
      </c>
      <c r="L21" s="2" t="s">
        <v>11</v>
      </c>
      <c r="M21" t="s">
        <v>12</v>
      </c>
      <c r="N21">
        <v>5055</v>
      </c>
      <c r="O21">
        <v>5055</v>
      </c>
      <c r="P21">
        <f t="shared" si="9"/>
        <v>0.21754180423900304</v>
      </c>
      <c r="Q21">
        <f t="shared" si="0"/>
        <v>0.59696119057167052</v>
      </c>
      <c r="R21" s="11">
        <f t="shared" si="10"/>
        <v>7.1046634271948044</v>
      </c>
      <c r="S21" s="11">
        <f t="shared" si="11"/>
        <v>29.095190053707601</v>
      </c>
      <c r="T21" s="11">
        <f t="shared" si="1"/>
        <v>27.50581960889545</v>
      </c>
      <c r="U21" s="11">
        <f t="shared" si="12"/>
        <v>0.2882342564826248</v>
      </c>
      <c r="V21" s="11">
        <f t="shared" si="2"/>
        <v>0.28262397923314042</v>
      </c>
      <c r="W21" s="11">
        <f t="shared" si="13"/>
        <v>7.6545020463847218</v>
      </c>
      <c r="X21" s="11">
        <f t="shared" si="14"/>
        <v>0.60898394857073546</v>
      </c>
      <c r="Y21">
        <v>2.7285129604365625E-3</v>
      </c>
      <c r="Z21">
        <v>1.4597544338335608E-2</v>
      </c>
      <c r="AA21">
        <v>3.3083219645293316E-2</v>
      </c>
      <c r="AB21">
        <v>4.0586630286493869E-2</v>
      </c>
      <c r="AC21">
        <v>0.14781718963165077</v>
      </c>
      <c r="AD21">
        <v>8.6562073669849943E-2</v>
      </c>
      <c r="AE21">
        <v>0.31418826739427019</v>
      </c>
      <c r="AF21">
        <v>0.4319236016371078</v>
      </c>
      <c r="AG21">
        <v>0.55729877216916779</v>
      </c>
      <c r="AH21">
        <v>0.31391541609822649</v>
      </c>
      <c r="AI21">
        <v>0.51214188267394267</v>
      </c>
      <c r="AJ21">
        <v>0.31487039563437924</v>
      </c>
      <c r="AK21">
        <v>1.5343792633015008</v>
      </c>
      <c r="AL21">
        <v>3.6562073669849933E-2</v>
      </c>
      <c r="AM21">
        <v>1.6871077762619375</v>
      </c>
      <c r="AN21">
        <v>0.14904502046384721</v>
      </c>
      <c r="AO21">
        <v>1.0274215552523875</v>
      </c>
      <c r="AP21">
        <v>7.52387448840382E-2</v>
      </c>
      <c r="AQ21">
        <v>0.32053206002728518</v>
      </c>
      <c r="AR21">
        <v>2.2305593451568895E-2</v>
      </c>
      <c r="AS21">
        <v>2.8240109140518416E-2</v>
      </c>
      <c r="AT21">
        <v>3.956343792633015E-3</v>
      </c>
      <c r="AU21">
        <v>5055</v>
      </c>
      <c r="AV21" s="21">
        <v>5055</v>
      </c>
      <c r="AW21" s="22">
        <v>-202.24723756927904</v>
      </c>
      <c r="AX21" s="22">
        <v>0.3125005721005053</v>
      </c>
      <c r="AY21" s="22">
        <v>-188.46032160380389</v>
      </c>
      <c r="AZ21" s="22">
        <v>3.1275588048710583</v>
      </c>
      <c r="BA21" s="22">
        <v>-193.43117271515001</v>
      </c>
      <c r="BB21" s="22">
        <v>0.19505743376214521</v>
      </c>
      <c r="BC21" s="22">
        <v>-195.22451895893079</v>
      </c>
      <c r="BD21" s="22">
        <v>2.9657397499813443</v>
      </c>
      <c r="BE21" s="22">
        <v>-216.90654600070417</v>
      </c>
      <c r="BF21" s="22">
        <v>1.3082586555554705</v>
      </c>
      <c r="BG21" s="23">
        <v>-219.6850054313233</v>
      </c>
      <c r="BH21" s="23">
        <v>8.1069250839184743</v>
      </c>
      <c r="BI21" s="22">
        <v>-204.54965750494827</v>
      </c>
      <c r="BJ21" s="22">
        <v>4.250985202493573</v>
      </c>
      <c r="BK21" s="22">
        <v>-220.74922977810746</v>
      </c>
      <c r="BL21" s="22">
        <v>4.1435198935055695</v>
      </c>
      <c r="BM21" s="22">
        <v>-208.96222875972273</v>
      </c>
      <c r="BN21" s="22">
        <v>1.5384914309047044</v>
      </c>
      <c r="BO21" s="22">
        <v>-207.01807844496926</v>
      </c>
      <c r="BP21" s="22">
        <v>3.5126463573303002</v>
      </c>
      <c r="BQ21" s="22">
        <v>-196.1145751959109</v>
      </c>
      <c r="BR21" s="22">
        <v>4.0603265464937</v>
      </c>
      <c r="BS21" s="22">
        <v>-33.364149837477498</v>
      </c>
      <c r="BT21" s="22">
        <v>0.6049975647189475</v>
      </c>
      <c r="BU21" s="22">
        <v>-33.592047783198936</v>
      </c>
      <c r="BV21" s="22">
        <v>9.1619920676118641E-2</v>
      </c>
      <c r="BW21" s="22">
        <v>-32.071060755952907</v>
      </c>
      <c r="BX21" s="22">
        <v>0.11442939277071267</v>
      </c>
      <c r="BY21" s="22">
        <v>-31.386209605100156</v>
      </c>
      <c r="BZ21" s="22">
        <v>4.4798444855800854E-2</v>
      </c>
      <c r="CA21" s="22">
        <v>-32.06181567757006</v>
      </c>
      <c r="CB21" s="22">
        <v>9.1204898446619317E-2</v>
      </c>
      <c r="CC21" s="22">
        <v>-32.304328787555434</v>
      </c>
      <c r="CD21" s="22">
        <v>3.6989380086859501E-2</v>
      </c>
      <c r="CE21" s="22">
        <v>-32.491043095722205</v>
      </c>
      <c r="CF21" s="22">
        <v>0.13581204941220923</v>
      </c>
      <c r="CG21" s="22">
        <v>-33.05928531589673</v>
      </c>
      <c r="CH21" s="22">
        <v>0.56790935579606594</v>
      </c>
      <c r="CI21" s="22">
        <v>-32.017638842782894</v>
      </c>
      <c r="CJ21" s="22">
        <v>7.0914844447890812E-2</v>
      </c>
      <c r="CK21" s="22">
        <v>-34.092593765276305</v>
      </c>
      <c r="CL21" s="22">
        <v>4.1759851536980246E-2</v>
      </c>
      <c r="CM21" s="22">
        <v>-33.090553223822674</v>
      </c>
      <c r="CN21" s="22">
        <v>7.7240191939823413E-2</v>
      </c>
      <c r="CO21" s="22">
        <v>-35.971045930566049</v>
      </c>
      <c r="CP21" s="22">
        <v>0.31754799188528265</v>
      </c>
      <c r="CQ21" s="22">
        <v>-34.603446776641803</v>
      </c>
      <c r="CR21" s="22">
        <v>0.1236220767430613</v>
      </c>
    </row>
    <row r="22" spans="1:96" x14ac:dyDescent="0.3">
      <c r="D22" t="s">
        <v>29</v>
      </c>
      <c r="E22" t="s">
        <v>37</v>
      </c>
      <c r="F22" s="11">
        <v>191</v>
      </c>
      <c r="G22">
        <v>11068</v>
      </c>
      <c r="H22">
        <v>10671</v>
      </c>
      <c r="I22">
        <v>11512</v>
      </c>
      <c r="J22" t="s">
        <v>31</v>
      </c>
      <c r="K22" t="s">
        <v>14</v>
      </c>
      <c r="M22" t="s">
        <v>12</v>
      </c>
      <c r="N22">
        <v>5054</v>
      </c>
      <c r="O22">
        <v>5054</v>
      </c>
      <c r="P22">
        <f t="shared" si="9"/>
        <v>0.1633071124221567</v>
      </c>
      <c r="Q22">
        <f t="shared" si="0"/>
        <v>0.63715657626172884</v>
      </c>
      <c r="R22" s="11">
        <f t="shared" si="10"/>
        <v>7.6017901797083676</v>
      </c>
      <c r="S22" s="11">
        <f t="shared" si="11"/>
        <v>28.935686166803997</v>
      </c>
      <c r="T22" s="11">
        <f t="shared" si="1"/>
        <v>27.584826794395706</v>
      </c>
      <c r="U22" s="11">
        <f t="shared" si="12"/>
        <v>0.25989437308469709</v>
      </c>
      <c r="V22" s="11">
        <f t="shared" si="2"/>
        <v>0.26304373662942709</v>
      </c>
      <c r="W22" s="11">
        <f t="shared" si="13"/>
        <v>4.6327210884353747</v>
      </c>
      <c r="X22" s="11">
        <f t="shared" si="14"/>
        <v>0.51533479960899309</v>
      </c>
      <c r="Y22">
        <v>2.6530612244897965E-3</v>
      </c>
      <c r="Z22">
        <v>7.6870748299319724E-3</v>
      </c>
      <c r="AA22">
        <v>2.3333333333333338E-2</v>
      </c>
      <c r="AB22">
        <v>3.1360544217687081E-2</v>
      </c>
      <c r="AC22">
        <v>9.8435374149659874E-2</v>
      </c>
      <c r="AD22">
        <v>4.7891156462585044E-2</v>
      </c>
      <c r="AE22">
        <v>0.13959183673469389</v>
      </c>
      <c r="AF22">
        <v>0.17081632653061227</v>
      </c>
      <c r="AG22">
        <v>0.27115646258503406</v>
      </c>
      <c r="AH22">
        <v>0.16571428571428573</v>
      </c>
      <c r="AI22">
        <v>0.33108843537414973</v>
      </c>
      <c r="AJ22">
        <v>0.20027210884353744</v>
      </c>
      <c r="AK22">
        <v>1.0865986394557823</v>
      </c>
      <c r="AL22">
        <v>2.2244897959183677E-2</v>
      </c>
      <c r="AM22">
        <v>1.1134693877551023</v>
      </c>
      <c r="AN22">
        <v>8.2585034013605466E-2</v>
      </c>
      <c r="AO22">
        <v>0.57380952380952388</v>
      </c>
      <c r="AP22">
        <v>4.6258503401360548E-2</v>
      </c>
      <c r="AQ22">
        <v>0.17789115646258505</v>
      </c>
      <c r="AR22">
        <v>1.938775510204082E-2</v>
      </c>
      <c r="AS22">
        <v>2.0476190476190478E-2</v>
      </c>
      <c r="AT22">
        <v>0</v>
      </c>
      <c r="AU22">
        <v>5054</v>
      </c>
      <c r="AV22" s="21">
        <v>5054</v>
      </c>
      <c r="AW22" s="23" t="s">
        <v>77</v>
      </c>
      <c r="AX22" s="23" t="s">
        <v>77</v>
      </c>
      <c r="AY22" s="22">
        <v>-162.78289430790838</v>
      </c>
      <c r="AZ22" s="22">
        <v>3.1342425348814218</v>
      </c>
      <c r="BA22" s="22">
        <v>-159.52663667421371</v>
      </c>
      <c r="BB22" s="22">
        <v>3.0729742180028681</v>
      </c>
      <c r="BC22" s="22">
        <v>-184.36700584500818</v>
      </c>
      <c r="BD22" s="22">
        <v>0.85626757497727868</v>
      </c>
      <c r="BE22" s="22">
        <v>-212.36443170679613</v>
      </c>
      <c r="BF22" s="22">
        <v>4.140713070052791</v>
      </c>
      <c r="BG22" s="22">
        <v>-210.69963977100301</v>
      </c>
      <c r="BH22" s="22">
        <v>2.1455413702072832</v>
      </c>
      <c r="BI22" s="22">
        <v>-211.08071927714215</v>
      </c>
      <c r="BJ22" s="22">
        <v>3.8210430628511505</v>
      </c>
      <c r="BK22" s="22">
        <v>-217.70804792712642</v>
      </c>
      <c r="BL22" s="22">
        <v>2.8586889189578959</v>
      </c>
      <c r="BM22" s="22">
        <v>-206.79804837472554</v>
      </c>
      <c r="BN22" s="22">
        <v>0.78729519684657223</v>
      </c>
      <c r="BO22" s="22">
        <v>-210.88411389587469</v>
      </c>
      <c r="BP22" s="22">
        <v>4.5607368683352343</v>
      </c>
      <c r="BQ22" s="22">
        <v>-200.94879472354074</v>
      </c>
      <c r="BR22" s="22">
        <v>1.580022999788891</v>
      </c>
      <c r="BS22" s="22">
        <v>-29.674679888761702</v>
      </c>
      <c r="BT22" s="22">
        <v>9.3874041310763545E-2</v>
      </c>
      <c r="BU22" s="22">
        <v>-32.219673019953895</v>
      </c>
      <c r="BV22" s="22">
        <v>0.97659695596471907</v>
      </c>
      <c r="BW22" s="22">
        <v>-32.11477572990924</v>
      </c>
      <c r="BX22" s="22">
        <v>2.4434814824432285E-2</v>
      </c>
      <c r="BY22" s="22">
        <v>-31.44344949383758</v>
      </c>
      <c r="BZ22" s="22">
        <v>0.52391793889320892</v>
      </c>
      <c r="CA22" s="22">
        <v>-32.169826266501168</v>
      </c>
      <c r="CB22" s="22">
        <v>4.3219868595253591E-2</v>
      </c>
      <c r="CC22" s="22">
        <v>-31.537993173820443</v>
      </c>
      <c r="CD22" s="22">
        <v>0.15900318684111447</v>
      </c>
      <c r="CE22" s="22">
        <v>-32.220395498526429</v>
      </c>
      <c r="CF22" s="22">
        <v>0.11395234385861251</v>
      </c>
      <c r="CG22" s="22">
        <v>-33.307087288055442</v>
      </c>
      <c r="CH22" s="22">
        <v>0.17481867881827121</v>
      </c>
      <c r="CI22" s="22">
        <v>-31.712834819988238</v>
      </c>
      <c r="CJ22" s="22">
        <v>3.0405187387855404E-3</v>
      </c>
      <c r="CK22" s="22">
        <v>-33.673328673144134</v>
      </c>
      <c r="CL22" s="22">
        <v>0.14851730131738358</v>
      </c>
      <c r="CM22" s="22">
        <v>-32.831529593890778</v>
      </c>
      <c r="CN22" s="22">
        <v>3.1178352726416895E-2</v>
      </c>
      <c r="CO22" s="22">
        <v>-36.095063897289094</v>
      </c>
      <c r="CP22" s="22">
        <v>0.36813773997305316</v>
      </c>
      <c r="CQ22" s="22">
        <v>-34.631536420342137</v>
      </c>
      <c r="CR22" s="22">
        <v>7.220637088082521E-2</v>
      </c>
    </row>
    <row r="23" spans="1:96" x14ac:dyDescent="0.3">
      <c r="D23" t="s">
        <v>29</v>
      </c>
      <c r="E23" t="s">
        <v>38</v>
      </c>
      <c r="F23" s="11">
        <v>189</v>
      </c>
      <c r="G23">
        <v>10948</v>
      </c>
      <c r="H23">
        <v>10609</v>
      </c>
      <c r="I23">
        <v>11393</v>
      </c>
      <c r="J23" t="s">
        <v>39</v>
      </c>
      <c r="K23" t="s">
        <v>14</v>
      </c>
      <c r="M23" t="s">
        <v>12</v>
      </c>
      <c r="N23">
        <v>5053</v>
      </c>
      <c r="O23">
        <v>5053</v>
      </c>
      <c r="P23">
        <f t="shared" si="9"/>
        <v>0.23490326363103381</v>
      </c>
      <c r="Q23">
        <f t="shared" si="0"/>
        <v>0.57990906028965983</v>
      </c>
      <c r="R23" s="11">
        <f t="shared" si="10"/>
        <v>8.1238349518963382</v>
      </c>
      <c r="S23" s="11">
        <f t="shared" si="11"/>
        <v>28.927816075360013</v>
      </c>
      <c r="T23" s="11">
        <f t="shared" si="1"/>
        <v>27.18373661245537</v>
      </c>
      <c r="U23" s="11">
        <f t="shared" si="12"/>
        <v>0.33694636516538967</v>
      </c>
      <c r="V23" s="11">
        <f t="shared" si="2"/>
        <v>0.29173557412953111</v>
      </c>
      <c r="W23" s="11">
        <f t="shared" si="13"/>
        <v>2.9215252152521529</v>
      </c>
      <c r="X23" s="11">
        <f t="shared" si="14"/>
        <v>0.50156353643513685</v>
      </c>
      <c r="Y23">
        <v>3.2595325953259533E-3</v>
      </c>
      <c r="Z23">
        <v>6.3960639606396065E-3</v>
      </c>
      <c r="AA23">
        <v>2.023370233702337E-2</v>
      </c>
      <c r="AB23">
        <v>2.2017220172201722E-2</v>
      </c>
      <c r="AC23">
        <v>7.6506765067650667E-2</v>
      </c>
      <c r="AD23">
        <v>4.6924969249692493E-2</v>
      </c>
      <c r="AE23">
        <v>0.15350553505535056</v>
      </c>
      <c r="AF23">
        <v>0.18708487084870848</v>
      </c>
      <c r="AG23">
        <v>0.22177121771217712</v>
      </c>
      <c r="AH23">
        <v>0.11113161131611315</v>
      </c>
      <c r="AI23">
        <v>0.17964329643296434</v>
      </c>
      <c r="AJ23">
        <v>0.10319803198031981</v>
      </c>
      <c r="AK23">
        <v>0.61857318573185727</v>
      </c>
      <c r="AL23">
        <v>1.2177121771217712E-2</v>
      </c>
      <c r="AM23">
        <v>0.64901599015990163</v>
      </c>
      <c r="AN23">
        <v>4.4649446494464937E-2</v>
      </c>
      <c r="AO23">
        <v>0.32552275522755225</v>
      </c>
      <c r="AP23">
        <v>2.4600246002460024E-2</v>
      </c>
      <c r="AQ23">
        <v>0.10110701107011071</v>
      </c>
      <c r="AR23">
        <v>4.4280442804428034E-3</v>
      </c>
      <c r="AS23">
        <v>9.7785977859778609E-3</v>
      </c>
      <c r="AT23">
        <v>0</v>
      </c>
      <c r="AU23">
        <v>5053</v>
      </c>
      <c r="AV23" s="21">
        <v>5053</v>
      </c>
      <c r="AW23" s="22">
        <v>-100.61324788191411</v>
      </c>
      <c r="AX23" s="22">
        <v>1.6808690801802904</v>
      </c>
      <c r="AY23" s="22">
        <v>-105.36567468912804</v>
      </c>
      <c r="AZ23" s="22">
        <v>3.0974724269102563</v>
      </c>
      <c r="BA23" s="22">
        <v>-103.78883607678235</v>
      </c>
      <c r="BB23" s="22">
        <v>1.5797675260971482</v>
      </c>
      <c r="BC23" s="22">
        <v>-96.572930111147912</v>
      </c>
      <c r="BD23" s="22">
        <v>1.2736803824015246</v>
      </c>
      <c r="BE23" s="22">
        <v>-182.41618006924165</v>
      </c>
      <c r="BF23" s="22">
        <v>1.4547806919171895</v>
      </c>
      <c r="BG23" s="22">
        <v>-189.79488022705675</v>
      </c>
      <c r="BH23" s="22">
        <v>1.0358468693208749</v>
      </c>
      <c r="BI23" s="22">
        <v>-160.58344548125331</v>
      </c>
      <c r="BJ23" s="22">
        <v>0.35809854788464679</v>
      </c>
      <c r="BK23" s="22">
        <v>-138.54705728697942</v>
      </c>
      <c r="BL23" s="22">
        <v>4.660855124482171</v>
      </c>
      <c r="BM23" s="22">
        <v>-134.34733141501724</v>
      </c>
      <c r="BN23" s="22">
        <v>2.1888431460934821</v>
      </c>
      <c r="BO23" s="23" t="s">
        <v>77</v>
      </c>
      <c r="BP23" s="23" t="s">
        <v>77</v>
      </c>
      <c r="BQ23" s="23" t="s">
        <v>77</v>
      </c>
      <c r="BR23" s="23" t="s">
        <v>77</v>
      </c>
      <c r="BS23" s="22">
        <v>-30.909694765695697</v>
      </c>
      <c r="BT23" s="22">
        <v>0.88136336541533078</v>
      </c>
      <c r="BU23" s="22">
        <v>-32.747249389038259</v>
      </c>
      <c r="BV23" s="22">
        <v>0.41064515704094007</v>
      </c>
      <c r="BW23" s="22">
        <v>-31.416839535100749</v>
      </c>
      <c r="BX23" s="22">
        <v>1.115822022318385E-2</v>
      </c>
      <c r="BY23" s="22">
        <v>-31.149137480146909</v>
      </c>
      <c r="BZ23" s="22">
        <v>4.3637091242450327E-2</v>
      </c>
      <c r="CA23" s="22">
        <v>-31.661747779247374</v>
      </c>
      <c r="CB23" s="22">
        <v>7.201521113173226E-2</v>
      </c>
      <c r="CC23" s="22">
        <v>-31.396889663067974</v>
      </c>
      <c r="CD23" s="22">
        <v>0.12188073529201389</v>
      </c>
      <c r="CE23" s="22">
        <v>-32.040047504276814</v>
      </c>
      <c r="CF23" s="22">
        <v>0.10964597590131894</v>
      </c>
      <c r="CG23" s="22">
        <v>-33.103996835225445</v>
      </c>
      <c r="CH23" s="22">
        <v>0.33889101171798258</v>
      </c>
      <c r="CI23" s="22">
        <v>-31.318650272537269</v>
      </c>
      <c r="CJ23" s="22">
        <v>8.2839057648540534E-2</v>
      </c>
      <c r="CK23" s="22">
        <v>-33.278305712983297</v>
      </c>
      <c r="CL23" s="22">
        <v>8.5657312086141885E-2</v>
      </c>
      <c r="CM23" s="22">
        <v>-32.04796200057109</v>
      </c>
      <c r="CN23" s="22">
        <v>3.3882895544155557E-2</v>
      </c>
      <c r="CO23" s="22">
        <v>-33.452431749065283</v>
      </c>
      <c r="CP23" s="22">
        <v>0.87987573395465735</v>
      </c>
      <c r="CQ23" s="22">
        <v>-33.726009413626485</v>
      </c>
      <c r="CR23" s="22">
        <v>1.9267655144869361E-2</v>
      </c>
    </row>
    <row r="24" spans="1:96" x14ac:dyDescent="0.3">
      <c r="D24" s="2" t="s">
        <v>29</v>
      </c>
      <c r="E24" s="2" t="s">
        <v>40</v>
      </c>
      <c r="F24" s="11">
        <v>188</v>
      </c>
      <c r="G24">
        <v>10889</v>
      </c>
      <c r="H24">
        <v>10564</v>
      </c>
      <c r="I24">
        <v>11352</v>
      </c>
      <c r="J24" s="2" t="s">
        <v>39</v>
      </c>
      <c r="K24" t="s">
        <v>14</v>
      </c>
      <c r="L24" s="2" t="s">
        <v>11</v>
      </c>
      <c r="M24" t="s">
        <v>12</v>
      </c>
      <c r="N24">
        <v>5052</v>
      </c>
      <c r="O24">
        <v>5052</v>
      </c>
      <c r="P24">
        <f t="shared" si="9"/>
        <v>0.32760755184153517</v>
      </c>
      <c r="Q24">
        <f t="shared" si="0"/>
        <v>0.51153057380822842</v>
      </c>
      <c r="R24" s="11">
        <f t="shared" si="10"/>
        <v>6.9406997624388946</v>
      </c>
      <c r="S24" s="11">
        <f t="shared" si="11"/>
        <v>29.136411673847654</v>
      </c>
      <c r="T24" s="11">
        <f t="shared" si="1"/>
        <v>26.878570244737858</v>
      </c>
      <c r="U24" s="11">
        <f t="shared" si="12"/>
        <v>0.36958798882681571</v>
      </c>
      <c r="V24" s="11">
        <f t="shared" si="2"/>
        <v>0.30919117647058825</v>
      </c>
      <c r="W24" s="11">
        <f t="shared" si="13"/>
        <v>1.6569348127600554</v>
      </c>
      <c r="X24" s="11">
        <f t="shared" si="14"/>
        <v>0.54269293924466344</v>
      </c>
      <c r="Y24">
        <v>2.4271844660194173E-3</v>
      </c>
      <c r="Z24">
        <v>4.9237170596393891E-3</v>
      </c>
      <c r="AA24">
        <v>1.4285714285714287E-2</v>
      </c>
      <c r="AB24">
        <v>2.5381414701803055E-2</v>
      </c>
      <c r="AC24">
        <v>6.2205270457697651E-2</v>
      </c>
      <c r="AD24">
        <v>3.8418862690707357E-2</v>
      </c>
      <c r="AE24">
        <v>0.11220527045769765</v>
      </c>
      <c r="AF24">
        <v>0.12871012482662966</v>
      </c>
      <c r="AG24">
        <v>0.14680998613037452</v>
      </c>
      <c r="AH24">
        <v>7.0388349514563117E-2</v>
      </c>
      <c r="AI24">
        <v>8.6477115117891828E-2</v>
      </c>
      <c r="AJ24">
        <v>5.6726768377253815E-2</v>
      </c>
      <c r="AK24">
        <v>0.2647711511789182</v>
      </c>
      <c r="AL24">
        <v>6.9348127600554789E-3</v>
      </c>
      <c r="AM24">
        <v>0.3378640776699029</v>
      </c>
      <c r="AN24">
        <v>2.1914008321775317E-2</v>
      </c>
      <c r="AO24">
        <v>0.18335644937586687</v>
      </c>
      <c r="AP24">
        <v>1.3384188626907073E-2</v>
      </c>
      <c r="AQ24">
        <v>6.1581137309292655E-2</v>
      </c>
      <c r="AR24">
        <v>1.2690707350901527E-2</v>
      </c>
      <c r="AS24">
        <v>5.4785020804438292E-3</v>
      </c>
      <c r="AT24">
        <v>0</v>
      </c>
      <c r="AU24">
        <v>5052</v>
      </c>
      <c r="AV24" s="21">
        <v>5052</v>
      </c>
      <c r="AW24" s="22">
        <v>-93.713433952556883</v>
      </c>
      <c r="AX24" s="22">
        <v>2.2599273177441237</v>
      </c>
      <c r="AY24" s="22">
        <v>-88.56681385054867</v>
      </c>
      <c r="AZ24" s="22">
        <v>0.28497640118895856</v>
      </c>
      <c r="BA24" s="22">
        <v>-100.68994896137316</v>
      </c>
      <c r="BB24" s="22">
        <v>1.8881366018159027</v>
      </c>
      <c r="BC24" s="22">
        <v>-93.810072768658586</v>
      </c>
      <c r="BD24" s="22">
        <v>3.0792131912479208</v>
      </c>
      <c r="BE24" s="22">
        <v>-102.0091297745781</v>
      </c>
      <c r="BF24" s="22">
        <v>0.30682029565098151</v>
      </c>
      <c r="BG24" s="23">
        <v>-124.28424935674951</v>
      </c>
      <c r="BH24" s="23">
        <v>15.502221412404358</v>
      </c>
      <c r="BI24" s="22">
        <v>-111.20080528267172</v>
      </c>
      <c r="BJ24" s="22">
        <v>3.5269099787701745</v>
      </c>
      <c r="BK24" s="22">
        <v>-92.600905287861124</v>
      </c>
      <c r="BL24" s="22">
        <v>3.9266426534579422</v>
      </c>
      <c r="BM24" s="22">
        <v>-102.94752815893116</v>
      </c>
      <c r="BN24" s="22">
        <v>1.2161551885597732</v>
      </c>
      <c r="BO24" s="23" t="s">
        <v>77</v>
      </c>
      <c r="BP24" s="23" t="s">
        <v>77</v>
      </c>
      <c r="BQ24" s="23" t="s">
        <v>77</v>
      </c>
      <c r="BR24" s="23" t="s">
        <v>77</v>
      </c>
      <c r="BS24" s="22">
        <v>-30.139031498989421</v>
      </c>
      <c r="BT24" s="22">
        <v>0.3514428214271817</v>
      </c>
      <c r="BU24" s="22">
        <v>-32.721503645310193</v>
      </c>
      <c r="BV24" s="22">
        <v>0.55561843230815455</v>
      </c>
      <c r="BW24" s="22">
        <v>-29.344982160508422</v>
      </c>
      <c r="BX24" s="22">
        <v>0.28026633870677436</v>
      </c>
      <c r="BY24" s="22">
        <v>-31.128792300904834</v>
      </c>
      <c r="BZ24" s="22">
        <v>3.2758879667654277E-2</v>
      </c>
      <c r="CA24" s="22">
        <v>-31.359470725595244</v>
      </c>
      <c r="CB24" s="22">
        <v>0.1396236735587002</v>
      </c>
      <c r="CC24" s="22">
        <v>-31.156664350390955</v>
      </c>
      <c r="CD24" s="22">
        <v>0.54424550415205408</v>
      </c>
      <c r="CE24" s="22">
        <v>-31.548306801589796</v>
      </c>
      <c r="CF24" s="22">
        <v>8.1353114516995048E-2</v>
      </c>
      <c r="CG24" s="22">
        <v>-30.735335400938347</v>
      </c>
      <c r="CH24" s="22">
        <v>0.38320897330727</v>
      </c>
      <c r="CI24" s="22">
        <v>-30.884623816179918</v>
      </c>
      <c r="CJ24" s="22">
        <v>0.14808526531359642</v>
      </c>
      <c r="CK24" s="22">
        <v>-32.891608808404229</v>
      </c>
      <c r="CL24" s="22">
        <v>0.45683341960281487</v>
      </c>
      <c r="CM24" s="22">
        <v>-31.775916223565133</v>
      </c>
      <c r="CN24" s="22">
        <v>2.8470104665298625E-2</v>
      </c>
      <c r="CO24" s="22">
        <v>-33.729569124828615</v>
      </c>
      <c r="CP24" s="22">
        <v>0.71390124544149347</v>
      </c>
      <c r="CQ24" s="22">
        <v>-32.875739110267233</v>
      </c>
      <c r="CR24" s="22">
        <v>0.18729468350133202</v>
      </c>
    </row>
    <row r="25" spans="1:96" x14ac:dyDescent="0.3">
      <c r="D25" s="5" t="s">
        <v>29</v>
      </c>
      <c r="E25" s="5" t="s">
        <v>41</v>
      </c>
      <c r="F25" s="11">
        <v>187</v>
      </c>
      <c r="G25">
        <v>10829</v>
      </c>
      <c r="H25">
        <v>10491</v>
      </c>
      <c r="I25">
        <v>11323</v>
      </c>
      <c r="J25" s="5" t="s">
        <v>39</v>
      </c>
      <c r="K25" t="s">
        <v>14</v>
      </c>
      <c r="M25" s="3" t="s">
        <v>11</v>
      </c>
      <c r="N25">
        <v>4927</v>
      </c>
      <c r="O25" s="3">
        <v>4929</v>
      </c>
      <c r="P25">
        <f t="shared" si="9"/>
        <v>0.78883786332612038</v>
      </c>
      <c r="Q25">
        <f t="shared" si="0"/>
        <v>0.31447750113174439</v>
      </c>
      <c r="R25" s="11">
        <f t="shared" si="10"/>
        <v>4.1822397998793344</v>
      </c>
      <c r="S25" s="11">
        <f t="shared" si="11"/>
        <v>29.623789897440808</v>
      </c>
      <c r="T25" s="11">
        <f t="shared" si="1"/>
        <v>26.169191982639397</v>
      </c>
      <c r="U25" s="11">
        <f t="shared" si="12"/>
        <v>0.49906599580831845</v>
      </c>
      <c r="V25" s="11">
        <f t="shared" si="2"/>
        <v>0.48042931460576704</v>
      </c>
      <c r="W25" s="11">
        <f t="shared" si="13"/>
        <v>2.6403710526301474</v>
      </c>
      <c r="X25" s="11">
        <f t="shared" si="14"/>
        <v>0.77983193277310903</v>
      </c>
      <c r="Y25">
        <v>0</v>
      </c>
      <c r="Z25">
        <v>8.6221820833090393E-3</v>
      </c>
      <c r="AA25">
        <v>1.5187696880691151E-2</v>
      </c>
      <c r="AB25">
        <v>2.341436602439886E-2</v>
      </c>
      <c r="AC25">
        <v>1.0046028665873832E-2</v>
      </c>
      <c r="AD25">
        <v>8.3927845783402649E-2</v>
      </c>
      <c r="AE25">
        <v>0.29250160291527683</v>
      </c>
      <c r="AF25">
        <v>0.333812178909693</v>
      </c>
      <c r="AG25">
        <v>0.34168472482611412</v>
      </c>
      <c r="AH25">
        <v>0.14211162783147885</v>
      </c>
      <c r="AI25">
        <v>0.1309926712278737</v>
      </c>
      <c r="AJ25">
        <v>6.1438322254956872E-2</v>
      </c>
      <c r="AK25">
        <v>0.20917323474454777</v>
      </c>
      <c r="AL25">
        <v>5.156924748894428E-2</v>
      </c>
      <c r="AM25">
        <v>0.28721094155309063</v>
      </c>
      <c r="AN25">
        <v>2.8881996643574097E-2</v>
      </c>
      <c r="AO25">
        <v>0.22397626366493112</v>
      </c>
      <c r="AP25">
        <v>2.8479740422911501E-2</v>
      </c>
      <c r="AQ25">
        <v>0.1099768507291526</v>
      </c>
      <c r="AR25">
        <v>1.1424076666817608E-2</v>
      </c>
      <c r="AS25">
        <v>9.0105393428420583E-3</v>
      </c>
      <c r="AT25">
        <v>0.23692891397026664</v>
      </c>
      <c r="AU25" s="3">
        <v>4929</v>
      </c>
    </row>
    <row r="26" spans="1:96" x14ac:dyDescent="0.3">
      <c r="D26" t="s">
        <v>29</v>
      </c>
      <c r="E26" t="s">
        <v>42</v>
      </c>
      <c r="F26" s="11">
        <v>185</v>
      </c>
      <c r="G26">
        <v>10702</v>
      </c>
      <c r="H26">
        <v>10454</v>
      </c>
      <c r="I26">
        <v>11016</v>
      </c>
      <c r="J26" t="s">
        <v>39</v>
      </c>
      <c r="K26" t="s">
        <v>14</v>
      </c>
      <c r="M26" t="s">
        <v>12</v>
      </c>
      <c r="N26">
        <v>5051</v>
      </c>
      <c r="O26">
        <v>5051</v>
      </c>
      <c r="P26">
        <f t="shared" si="9"/>
        <v>0.42431931296964959</v>
      </c>
      <c r="Q26">
        <f t="shared" si="0"/>
        <v>0.45531012287887657</v>
      </c>
      <c r="R26" s="11">
        <f t="shared" si="10"/>
        <v>7.0746838279354325</v>
      </c>
      <c r="S26" s="11">
        <f t="shared" si="11"/>
        <v>28.948215237080451</v>
      </c>
      <c r="T26" s="11">
        <f t="shared" si="1"/>
        <v>26.411095967822362</v>
      </c>
      <c r="U26" s="11">
        <f t="shared" si="12"/>
        <v>0.47358675525541877</v>
      </c>
      <c r="V26" s="11">
        <f t="shared" si="2"/>
        <v>0.37282976324689959</v>
      </c>
      <c r="W26" s="11">
        <f t="shared" si="13"/>
        <v>2.9851528384279478</v>
      </c>
      <c r="X26" s="11">
        <f t="shared" si="14"/>
        <v>0.50188984881209497</v>
      </c>
      <c r="Y26">
        <v>2.7656477438136829E-3</v>
      </c>
      <c r="Z26">
        <v>1.2445414847161574E-2</v>
      </c>
      <c r="AA26">
        <v>3.4133915574963612E-2</v>
      </c>
      <c r="AB26">
        <v>3.7845705967976713E-3</v>
      </c>
      <c r="AC26">
        <v>0.10320232896652111</v>
      </c>
      <c r="AD26">
        <v>8.486171761280932E-2</v>
      </c>
      <c r="AE26">
        <v>0.24570596797671032</v>
      </c>
      <c r="AF26">
        <v>0.32852983988355167</v>
      </c>
      <c r="AG26">
        <v>0.31644832605531292</v>
      </c>
      <c r="AH26">
        <v>0.15967976710334791</v>
      </c>
      <c r="AI26">
        <v>0.16491994177583696</v>
      </c>
      <c r="AJ26">
        <v>9.6360989810771472E-2</v>
      </c>
      <c r="AK26">
        <v>0.47518195050946149</v>
      </c>
      <c r="AL26">
        <v>1.0116448326055311E-2</v>
      </c>
      <c r="AM26">
        <v>0.53915574963609902</v>
      </c>
      <c r="AN26">
        <v>3.6026200873362446E-2</v>
      </c>
      <c r="AO26">
        <v>0.27059679767103345</v>
      </c>
      <c r="AP26">
        <v>1.6957787481804949E-2</v>
      </c>
      <c r="AQ26">
        <v>7.4235807860262015E-2</v>
      </c>
      <c r="AR26">
        <v>3.129548762736536E-3</v>
      </c>
      <c r="AS26">
        <v>6.9141193595342069E-3</v>
      </c>
      <c r="AT26">
        <v>0</v>
      </c>
      <c r="AU26">
        <v>5051</v>
      </c>
      <c r="AV26" s="21">
        <v>5051</v>
      </c>
      <c r="AW26" s="22">
        <v>-133.4595218945889</v>
      </c>
      <c r="AX26" s="22">
        <v>3.2136105078627781</v>
      </c>
      <c r="AY26" s="22">
        <v>-136.77718584291881</v>
      </c>
      <c r="AZ26" s="22">
        <v>1.5540129368036892</v>
      </c>
      <c r="BA26" s="22">
        <v>-115.66158117563532</v>
      </c>
      <c r="BB26" s="22">
        <v>4.5654776862898343</v>
      </c>
      <c r="BC26" s="22">
        <v>-111.50634403880774</v>
      </c>
      <c r="BD26" s="22">
        <v>1.1581164929106196</v>
      </c>
      <c r="BE26" s="22">
        <v>-121.27293685287063</v>
      </c>
      <c r="BF26" s="22">
        <v>2.5859552893093638</v>
      </c>
      <c r="BG26" s="22">
        <v>-143.19082161682036</v>
      </c>
      <c r="BH26" s="22">
        <v>4.7318837340803599</v>
      </c>
      <c r="BI26" s="22">
        <v>-151.71294056540648</v>
      </c>
      <c r="BJ26" s="22">
        <v>0.50954325651893628</v>
      </c>
      <c r="BK26" s="22">
        <v>-149.87133731909276</v>
      </c>
      <c r="BL26" s="22">
        <v>1.7224120262366072</v>
      </c>
      <c r="BM26" s="22">
        <v>-161.95476999406958</v>
      </c>
      <c r="BN26" s="22">
        <v>4.8864992845316966</v>
      </c>
      <c r="BO26" s="23">
        <v>-183.52725423266509</v>
      </c>
      <c r="BP26" s="23">
        <v>31.065351235509755</v>
      </c>
      <c r="BQ26" s="23" t="s">
        <v>77</v>
      </c>
      <c r="BR26" s="23" t="s">
        <v>77</v>
      </c>
      <c r="BS26" s="22">
        <v>-29.010397037382504</v>
      </c>
      <c r="BT26" s="22">
        <v>1.630174275986326E-2</v>
      </c>
      <c r="BU26" s="22">
        <v>-29.617455506705266</v>
      </c>
      <c r="BV26" s="22">
        <v>0.46569446916031215</v>
      </c>
      <c r="BW26" s="22">
        <v>-30.670641013068174</v>
      </c>
      <c r="BX26" s="22">
        <v>0.1714385755207706</v>
      </c>
      <c r="BY26" s="22">
        <v>-30.727924494359481</v>
      </c>
      <c r="BZ26" s="22">
        <v>9.4971244374849328E-2</v>
      </c>
      <c r="CA26" s="22">
        <v>-31.005624039199944</v>
      </c>
      <c r="CB26" s="22">
        <v>0.13847140427644808</v>
      </c>
      <c r="CC26" s="22">
        <v>-31.225997740812332</v>
      </c>
      <c r="CD26" s="22">
        <v>0.31169129204316637</v>
      </c>
      <c r="CE26" s="22">
        <v>-31.238945011401206</v>
      </c>
      <c r="CF26" s="22">
        <v>0.23522454655003738</v>
      </c>
      <c r="CG26" s="22">
        <v>-31.832532566011274</v>
      </c>
      <c r="CH26" s="22">
        <v>0.40625086478629474</v>
      </c>
      <c r="CI26" s="22">
        <v>-30.742631979649943</v>
      </c>
      <c r="CJ26" s="22">
        <v>0.13387523792219283</v>
      </c>
      <c r="CK26" s="22">
        <v>-32.754524994535288</v>
      </c>
      <c r="CL26" s="22">
        <v>0.41268284255655552</v>
      </c>
      <c r="CM26" s="22">
        <v>-31.686540650681739</v>
      </c>
      <c r="CN26" s="22">
        <v>0.15459438419677851</v>
      </c>
      <c r="CO26" s="22">
        <v>-33.390436727320626</v>
      </c>
      <c r="CP26" s="22">
        <v>1.2978906047556609</v>
      </c>
      <c r="CQ26" s="22">
        <v>-32.724417413504668</v>
      </c>
      <c r="CR26" s="22">
        <v>0.20592763927370708</v>
      </c>
    </row>
    <row r="27" spans="1:96" x14ac:dyDescent="0.3">
      <c r="D27" t="s">
        <v>29</v>
      </c>
      <c r="E27" t="s">
        <v>43</v>
      </c>
      <c r="F27" s="11">
        <v>183</v>
      </c>
      <c r="G27">
        <v>10576</v>
      </c>
      <c r="H27">
        <v>10400</v>
      </c>
      <c r="I27">
        <v>10735</v>
      </c>
      <c r="J27" t="s">
        <v>44</v>
      </c>
      <c r="K27" t="s">
        <v>14</v>
      </c>
      <c r="M27" t="s">
        <v>12</v>
      </c>
      <c r="N27">
        <v>5050</v>
      </c>
      <c r="O27">
        <v>5050</v>
      </c>
      <c r="P27">
        <f t="shared" si="9"/>
        <v>0.39478601299047955</v>
      </c>
      <c r="Q27">
        <f t="shared" si="0"/>
        <v>0.51446108767586951</v>
      </c>
      <c r="R27" s="11">
        <f t="shared" si="10"/>
        <v>8.0694822608080017</v>
      </c>
      <c r="S27" s="11">
        <f t="shared" si="11"/>
        <v>28.85294836093605</v>
      </c>
      <c r="T27" s="11">
        <f t="shared" si="1"/>
        <v>26.818169835568593</v>
      </c>
      <c r="U27" s="11">
        <f t="shared" si="12"/>
        <v>0.47952015562520262</v>
      </c>
      <c r="V27" s="11">
        <f t="shared" si="2"/>
        <v>0.36741078530144761</v>
      </c>
      <c r="W27" s="11">
        <f t="shared" si="13"/>
        <v>3.34932318104907</v>
      </c>
      <c r="X27" s="11">
        <f t="shared" si="14"/>
        <v>0.4598629466470876</v>
      </c>
      <c r="Y27">
        <v>0</v>
      </c>
      <c r="Z27">
        <v>0</v>
      </c>
      <c r="AA27">
        <v>8.7140439932318105E-3</v>
      </c>
      <c r="AB27">
        <v>1.5228426395939084E-3</v>
      </c>
      <c r="AC27">
        <v>6.7343485617597301E-2</v>
      </c>
      <c r="AD27">
        <v>4.6615905245346874E-2</v>
      </c>
      <c r="AE27">
        <v>0.19077834179357026</v>
      </c>
      <c r="AF27">
        <v>0.34111675126903551</v>
      </c>
      <c r="AG27">
        <v>0.37538071065989848</v>
      </c>
      <c r="AH27">
        <v>0.19856175972927242</v>
      </c>
      <c r="AI27">
        <v>0.21082910321489004</v>
      </c>
      <c r="AJ27">
        <v>0.10761421319796956</v>
      </c>
      <c r="AK27">
        <v>0.63291032148900173</v>
      </c>
      <c r="AL27">
        <v>1.0998307952622674E-2</v>
      </c>
      <c r="AM27">
        <v>0.69137055837563455</v>
      </c>
      <c r="AN27">
        <v>3.7817258883248731E-2</v>
      </c>
      <c r="AO27">
        <v>0.31793570219966161</v>
      </c>
      <c r="AP27">
        <v>1.7174280879864636E-2</v>
      </c>
      <c r="AQ27">
        <v>8.0879864636209817E-2</v>
      </c>
      <c r="AR27">
        <v>3.1302876480541453E-3</v>
      </c>
      <c r="AS27">
        <v>8.6294416243654828E-3</v>
      </c>
      <c r="AT27">
        <v>0</v>
      </c>
      <c r="AU27">
        <v>5050</v>
      </c>
      <c r="AV27" s="21">
        <v>5050</v>
      </c>
      <c r="AW27" s="23">
        <v>-61.629643488431903</v>
      </c>
      <c r="AX27" s="23">
        <v>10.661287434411879</v>
      </c>
      <c r="AY27" s="22">
        <v>-86.301333335968721</v>
      </c>
      <c r="AZ27" s="22">
        <v>0.1613784340067109</v>
      </c>
      <c r="BA27" s="22">
        <v>-120.16886103973138</v>
      </c>
      <c r="BB27" s="22">
        <v>1.2933764432938621</v>
      </c>
      <c r="BC27" s="22">
        <v>-89.003608476123503</v>
      </c>
      <c r="BD27" s="22">
        <v>4.2563682348545111</v>
      </c>
      <c r="BE27" s="22">
        <v>-90.388901706081526</v>
      </c>
      <c r="BF27" s="22">
        <v>2.8434764209691683</v>
      </c>
      <c r="BG27" s="23">
        <v>-76.676189238398152</v>
      </c>
      <c r="BH27" s="23">
        <v>40.121314665978659</v>
      </c>
      <c r="BI27" s="22">
        <v>-107.76658177645619</v>
      </c>
      <c r="BJ27" s="22">
        <v>4.1220063864338155</v>
      </c>
      <c r="BK27" s="22">
        <v>-112.80429856391943</v>
      </c>
      <c r="BL27" s="22">
        <v>4.2315985356723109</v>
      </c>
      <c r="BM27" s="23" t="s">
        <v>77</v>
      </c>
      <c r="BN27" s="23" t="s">
        <v>77</v>
      </c>
      <c r="BO27" s="23" t="s">
        <v>77</v>
      </c>
      <c r="BP27" s="23" t="s">
        <v>77</v>
      </c>
      <c r="BQ27" s="23" t="s">
        <v>77</v>
      </c>
      <c r="BR27" s="23" t="s">
        <v>77</v>
      </c>
      <c r="BS27" s="22">
        <v>-30.005747271519009</v>
      </c>
      <c r="BT27" s="22">
        <v>0.38109213666659292</v>
      </c>
      <c r="BU27" s="22">
        <v>-32.216779774776938</v>
      </c>
      <c r="BV27" s="22">
        <v>0.73001422369775781</v>
      </c>
      <c r="BW27" s="22">
        <v>-25.6062699010618</v>
      </c>
      <c r="BX27" s="22">
        <v>0.50033077476091481</v>
      </c>
      <c r="BY27" s="22">
        <v>-31.268309926560974</v>
      </c>
      <c r="BZ27" s="22">
        <v>8.4241677916816887E-3</v>
      </c>
      <c r="CA27" s="22">
        <v>-31.459060092603323</v>
      </c>
      <c r="CB27" s="22">
        <v>0.12391058815213381</v>
      </c>
      <c r="CC27" s="22">
        <v>-31.873821367121881</v>
      </c>
      <c r="CD27" s="22">
        <v>7.060956270267349E-2</v>
      </c>
      <c r="CE27" s="22">
        <v>-31.899325014113607</v>
      </c>
      <c r="CF27" s="22">
        <v>5.3418649007220355E-2</v>
      </c>
      <c r="CG27" s="22">
        <v>-31.600726983579818</v>
      </c>
      <c r="CH27" s="22">
        <v>1.3845378025324282</v>
      </c>
      <c r="CI27" s="22">
        <v>-31.106115506465983</v>
      </c>
      <c r="CJ27" s="22">
        <v>3.8324343578116621E-2</v>
      </c>
      <c r="CK27" s="22">
        <v>-33.699798537975447</v>
      </c>
      <c r="CL27" s="22">
        <v>0.78520461358902682</v>
      </c>
      <c r="CM27" s="22">
        <v>-31.719064572618009</v>
      </c>
      <c r="CN27" s="22">
        <v>0.11303673352293826</v>
      </c>
      <c r="CO27" s="23" t="s">
        <v>77</v>
      </c>
      <c r="CP27" s="23" t="s">
        <v>77</v>
      </c>
      <c r="CQ27" s="23" t="s">
        <v>77</v>
      </c>
      <c r="CR27" s="23" t="s">
        <v>77</v>
      </c>
    </row>
    <row r="28" spans="1:96" x14ac:dyDescent="0.3">
      <c r="A28">
        <v>182</v>
      </c>
      <c r="B28" s="1">
        <v>10530</v>
      </c>
      <c r="C28">
        <v>51</v>
      </c>
      <c r="D28" s="2" t="s">
        <v>29</v>
      </c>
      <c r="E28" s="2" t="s">
        <v>45</v>
      </c>
      <c r="F28" s="11">
        <v>182</v>
      </c>
      <c r="G28">
        <v>10513</v>
      </c>
      <c r="H28">
        <v>10346</v>
      </c>
      <c r="I28">
        <v>10651</v>
      </c>
      <c r="J28" s="2" t="s">
        <v>44</v>
      </c>
      <c r="K28" s="1" t="s">
        <v>11</v>
      </c>
      <c r="L28" s="2" t="s">
        <v>11</v>
      </c>
      <c r="M28" t="s">
        <v>12</v>
      </c>
      <c r="N28">
        <v>176</v>
      </c>
      <c r="O28">
        <v>5049</v>
      </c>
      <c r="P28">
        <f t="shared" si="9"/>
        <v>0.29637760702524696</v>
      </c>
      <c r="Q28">
        <f t="shared" si="0"/>
        <v>0.51940023674865177</v>
      </c>
      <c r="R28" s="11">
        <f t="shared" si="10"/>
        <v>5.2179055842248445</v>
      </c>
      <c r="S28" s="11">
        <f t="shared" si="11"/>
        <v>28.843380848084454</v>
      </c>
      <c r="T28" s="11">
        <f t="shared" si="1"/>
        <v>26.873847840167407</v>
      </c>
      <c r="U28" s="11">
        <f t="shared" si="12"/>
        <v>0.41206571505521139</v>
      </c>
      <c r="V28" s="11">
        <f t="shared" si="2"/>
        <v>0.34779290166645466</v>
      </c>
      <c r="W28" s="11">
        <f t="shared" si="13"/>
        <v>4.1514040561622467</v>
      </c>
      <c r="X28" s="11">
        <f t="shared" si="14"/>
        <v>0.45131156822041896</v>
      </c>
      <c r="Y28">
        <v>0</v>
      </c>
      <c r="Z28">
        <v>3.0187207488299533E-2</v>
      </c>
      <c r="AA28">
        <v>4.0873634945397815E-2</v>
      </c>
      <c r="AB28">
        <v>4.5241809672386894E-3</v>
      </c>
      <c r="AC28">
        <v>0.13159126365054605</v>
      </c>
      <c r="AD28">
        <v>6.4118564742589701E-2</v>
      </c>
      <c r="AE28">
        <v>0.20358814352574106</v>
      </c>
      <c r="AF28">
        <v>0.27277691107644303</v>
      </c>
      <c r="AG28">
        <v>0.3580343213728549</v>
      </c>
      <c r="AH28">
        <v>0.19282371294851794</v>
      </c>
      <c r="AI28">
        <v>0.28174726989079563</v>
      </c>
      <c r="AJ28">
        <v>0.14867394695787831</v>
      </c>
      <c r="AK28">
        <v>0.8349453978159127</v>
      </c>
      <c r="AL28">
        <v>1.5990639625585022E-2</v>
      </c>
      <c r="AM28">
        <v>0.82667706708268329</v>
      </c>
      <c r="AN28">
        <v>5.647425897035882E-2</v>
      </c>
      <c r="AO28">
        <v>0.37308892355694229</v>
      </c>
      <c r="AP28">
        <v>0.15031201248049922</v>
      </c>
      <c r="AQ28">
        <v>0.12152886115444618</v>
      </c>
      <c r="AR28">
        <v>2.7223088923556946E-2</v>
      </c>
      <c r="AS28">
        <v>1.622464898595944E-2</v>
      </c>
      <c r="AT28">
        <v>0</v>
      </c>
      <c r="AU28">
        <v>5049</v>
      </c>
      <c r="AV28" s="21">
        <v>5049</v>
      </c>
      <c r="AW28" s="22">
        <v>-136.01222269076544</v>
      </c>
      <c r="AX28" s="22">
        <v>1.6464447615629882</v>
      </c>
      <c r="AY28" s="22">
        <v>-139.87569065197169</v>
      </c>
      <c r="AZ28" s="22">
        <v>3.2402955842123591</v>
      </c>
      <c r="BA28" s="22">
        <v>-150.83315997777655</v>
      </c>
      <c r="BB28" s="22">
        <v>2.6974083917470044</v>
      </c>
      <c r="BC28" s="22">
        <v>-136.54426511535564</v>
      </c>
      <c r="BD28" s="22">
        <v>3.8143842709421092</v>
      </c>
      <c r="BE28" s="22">
        <v>-174.94141404277798</v>
      </c>
      <c r="BF28" s="22">
        <v>2.8247111750607554</v>
      </c>
      <c r="BG28" s="22">
        <v>-171.52360894836505</v>
      </c>
      <c r="BH28" s="22">
        <v>4.345050845068446</v>
      </c>
      <c r="BI28" s="22">
        <v>-154.8344099730019</v>
      </c>
      <c r="BJ28" s="22">
        <v>1.8539394854633275</v>
      </c>
      <c r="BK28" s="23">
        <v>-163.38403336812246</v>
      </c>
      <c r="BL28" s="23">
        <v>9.0505297572242487</v>
      </c>
      <c r="BM28" s="22">
        <v>-151.96717053797167</v>
      </c>
      <c r="BN28" s="22">
        <v>3.9214556090663963</v>
      </c>
      <c r="BO28" s="23" t="s">
        <v>77</v>
      </c>
      <c r="BP28" s="23" t="s">
        <v>77</v>
      </c>
      <c r="BQ28" s="23" t="s">
        <v>77</v>
      </c>
      <c r="BR28" s="23" t="s">
        <v>77</v>
      </c>
      <c r="BS28" s="22">
        <v>-33.387890698951409</v>
      </c>
      <c r="BT28" s="22">
        <v>0.11991843476774201</v>
      </c>
      <c r="BU28" s="22">
        <v>-30.458650412406989</v>
      </c>
      <c r="BV28" s="22">
        <v>1.01402580732463</v>
      </c>
      <c r="BW28" s="22">
        <v>-32.009335101162627</v>
      </c>
      <c r="BX28" s="22">
        <v>0.20738071725789775</v>
      </c>
      <c r="BY28" s="22">
        <v>-31.39295638391723</v>
      </c>
      <c r="BZ28" s="22">
        <v>0.13662421731640031</v>
      </c>
      <c r="CA28" s="22">
        <v>-32.139607607272033</v>
      </c>
      <c r="CB28" s="22">
        <v>1.3601906058614952E-2</v>
      </c>
      <c r="CC28" s="22">
        <v>-31.49721602394505</v>
      </c>
      <c r="CD28" s="22">
        <v>2.4423826266002167E-2</v>
      </c>
      <c r="CE28" s="22">
        <v>-32.364027162413066</v>
      </c>
      <c r="CF28" s="22">
        <v>1.8636284210046764E-2</v>
      </c>
      <c r="CG28" s="22">
        <v>-29.462530088394711</v>
      </c>
      <c r="CH28" s="22">
        <v>0.25982387455843514</v>
      </c>
      <c r="CI28" s="22">
        <v>-31.752620378792287</v>
      </c>
      <c r="CJ28" s="22">
        <v>3.2669311614245508E-2</v>
      </c>
      <c r="CK28" s="22">
        <v>-33.552625786934819</v>
      </c>
      <c r="CL28" s="22">
        <v>6.0248783175744789E-3</v>
      </c>
      <c r="CM28" s="22">
        <v>-32.680866533268158</v>
      </c>
      <c r="CN28" s="22">
        <v>1.3479383516729131E-3</v>
      </c>
      <c r="CO28" s="23" t="s">
        <v>77</v>
      </c>
      <c r="CP28" s="23" t="s">
        <v>77</v>
      </c>
      <c r="CQ28" s="22">
        <v>-33.917859078776971</v>
      </c>
      <c r="CR28" s="22">
        <v>0.24097283942445852</v>
      </c>
    </row>
    <row r="63" spans="15:47" x14ac:dyDescent="0.3">
      <c r="O63" s="13" t="s">
        <v>109</v>
      </c>
      <c r="AU63" s="13" t="s">
        <v>109</v>
      </c>
    </row>
  </sheetData>
  <conditionalFormatting sqref="D1:M1">
    <cfRule type="duplicateValues" dxfId="15" priority="3"/>
  </conditionalFormatting>
  <conditionalFormatting sqref="A1:AT1 AV1:XFD1">
    <cfRule type="duplicateValues" dxfId="14" priority="2"/>
  </conditionalFormatting>
  <conditionalFormatting sqref="AU1">
    <cfRule type="duplicateValues" dxfId="13" priority="1"/>
  </conditionalFormatting>
  <hyperlinks>
    <hyperlink ref="O63" r:id="rId1" xr:uid="{79C8D405-53A3-4772-806D-3C0A8E6F62CF}"/>
    <hyperlink ref="AU63" r:id="rId2" xr:uid="{B15155D0-1501-4033-88B8-83DBB3E52B99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399-96B0-4672-A75F-71BE32992BB5}">
  <dimension ref="A1:CE31"/>
  <sheetViews>
    <sheetView tabSelected="1" topLeftCell="H1" zoomScaleNormal="100" workbookViewId="0">
      <selection activeCell="A8" sqref="A8:XFD8"/>
    </sheetView>
  </sheetViews>
  <sheetFormatPr baseColWidth="10" defaultRowHeight="14.4" x14ac:dyDescent="0.3"/>
  <sheetData>
    <row r="1" spans="1:83" ht="17.399999999999999" x14ac:dyDescent="0.35">
      <c r="A1" t="s">
        <v>105</v>
      </c>
      <c r="B1" t="s">
        <v>96</v>
      </c>
      <c r="C1" t="s">
        <v>97</v>
      </c>
      <c r="D1" t="s">
        <v>98</v>
      </c>
      <c r="E1" t="s">
        <v>103</v>
      </c>
      <c r="F1" t="s">
        <v>72</v>
      </c>
      <c r="G1" t="s">
        <v>104</v>
      </c>
      <c r="H1" t="s">
        <v>215</v>
      </c>
      <c r="I1" t="s">
        <v>76</v>
      </c>
      <c r="J1" t="s">
        <v>91</v>
      </c>
      <c r="K1" t="s">
        <v>216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177</v>
      </c>
      <c r="AI1" t="s">
        <v>214</v>
      </c>
      <c r="AJ1" s="20" t="s">
        <v>179</v>
      </c>
      <c r="AK1" s="20" t="s">
        <v>180</v>
      </c>
      <c r="AL1" s="20" t="s">
        <v>181</v>
      </c>
      <c r="AM1" s="20" t="s">
        <v>182</v>
      </c>
      <c r="AN1" s="20" t="s">
        <v>183</v>
      </c>
      <c r="AO1" s="20" t="s">
        <v>184</v>
      </c>
      <c r="AP1" s="20" t="s">
        <v>185</v>
      </c>
      <c r="AQ1" s="20" t="s">
        <v>186</v>
      </c>
      <c r="AR1" s="20" t="s">
        <v>187</v>
      </c>
      <c r="AS1" s="20" t="s">
        <v>188</v>
      </c>
      <c r="AT1" s="20" t="s">
        <v>189</v>
      </c>
      <c r="AU1" s="20" t="s">
        <v>190</v>
      </c>
      <c r="AV1" s="20" t="s">
        <v>191</v>
      </c>
      <c r="AW1" s="20" t="s">
        <v>192</v>
      </c>
      <c r="AX1" s="20" t="s">
        <v>193</v>
      </c>
      <c r="AY1" s="20" t="s">
        <v>194</v>
      </c>
      <c r="AZ1" s="20" t="s">
        <v>195</v>
      </c>
      <c r="BA1" s="20" t="s">
        <v>196</v>
      </c>
      <c r="BB1" s="20" t="s">
        <v>197</v>
      </c>
      <c r="BC1" s="20" t="s">
        <v>198</v>
      </c>
      <c r="BD1" s="20" t="s">
        <v>199</v>
      </c>
      <c r="BE1" s="20" t="s">
        <v>200</v>
      </c>
      <c r="BF1" s="20" t="s">
        <v>178</v>
      </c>
      <c r="BG1" s="20" t="s">
        <v>201</v>
      </c>
      <c r="BH1" s="20" t="s">
        <v>79</v>
      </c>
      <c r="BI1" s="20" t="s">
        <v>202</v>
      </c>
      <c r="BJ1" s="20" t="s">
        <v>80</v>
      </c>
      <c r="BK1" s="20" t="s">
        <v>203</v>
      </c>
      <c r="BL1" s="20" t="s">
        <v>81</v>
      </c>
      <c r="BM1" s="20" t="s">
        <v>204</v>
      </c>
      <c r="BN1" s="20" t="s">
        <v>82</v>
      </c>
      <c r="BO1" s="20" t="s">
        <v>205</v>
      </c>
      <c r="BP1" s="20" t="s">
        <v>83</v>
      </c>
      <c r="BQ1" s="20" t="s">
        <v>206</v>
      </c>
      <c r="BR1" s="20" t="s">
        <v>84</v>
      </c>
      <c r="BS1" s="20" t="s">
        <v>207</v>
      </c>
      <c r="BT1" s="20" t="s">
        <v>85</v>
      </c>
      <c r="BU1" s="20" t="s">
        <v>208</v>
      </c>
      <c r="BV1" s="20" t="s">
        <v>86</v>
      </c>
      <c r="BW1" s="20" t="s">
        <v>209</v>
      </c>
      <c r="BX1" s="20" t="s">
        <v>87</v>
      </c>
      <c r="BY1" s="20" t="s">
        <v>210</v>
      </c>
      <c r="BZ1" s="20" t="s">
        <v>88</v>
      </c>
      <c r="CA1" s="20" t="s">
        <v>211</v>
      </c>
      <c r="CB1" s="20" t="s">
        <v>89</v>
      </c>
      <c r="CC1" s="20" t="s">
        <v>212</v>
      </c>
      <c r="CD1" s="20" t="s">
        <v>90</v>
      </c>
      <c r="CE1" s="20" t="s">
        <v>213</v>
      </c>
    </row>
    <row r="2" spans="1:83" x14ac:dyDescent="0.3">
      <c r="A2">
        <v>225</v>
      </c>
      <c r="B2">
        <v>24774</v>
      </c>
      <c r="C2">
        <v>23967</v>
      </c>
      <c r="D2">
        <v>25458</v>
      </c>
      <c r="E2">
        <v>3.0083277330687528</v>
      </c>
      <c r="F2">
        <v>29.844183419923198</v>
      </c>
      <c r="G2">
        <v>0.47569926601864715</v>
      </c>
      <c r="H2">
        <f>AB2/X2</f>
        <v>1.4355265838256264</v>
      </c>
      <c r="I2">
        <v>1.0590622182146077</v>
      </c>
      <c r="J2">
        <v>0.96582571344826851</v>
      </c>
      <c r="K2">
        <f>(X2+Z2+AB2)/(L2+N2+P2)</f>
        <v>11.559006211180124</v>
      </c>
      <c r="L2">
        <v>0</v>
      </c>
      <c r="M2">
        <v>9.0707964601769928E-3</v>
      </c>
      <c r="N2">
        <v>1.4657079646017701E-2</v>
      </c>
      <c r="O2">
        <v>1.9579646017699119E-2</v>
      </c>
      <c r="P2">
        <v>7.4391592920353994E-2</v>
      </c>
      <c r="Q2">
        <v>3.4789823008849564E-2</v>
      </c>
      <c r="R2">
        <v>0.16742256637168143</v>
      </c>
      <c r="S2">
        <v>0.30901548672566376</v>
      </c>
      <c r="T2">
        <v>0.53053097345132749</v>
      </c>
      <c r="U2">
        <v>0.38921460176991157</v>
      </c>
      <c r="V2">
        <v>0.30945796460177</v>
      </c>
      <c r="W2">
        <v>0.26194690265486725</v>
      </c>
      <c r="X2">
        <v>0.27151548672566378</v>
      </c>
      <c r="Y2">
        <v>1.4435840707964604E-2</v>
      </c>
      <c r="Z2">
        <v>0.36803097345132751</v>
      </c>
      <c r="AA2">
        <v>6.1338495575221245E-2</v>
      </c>
      <c r="AB2">
        <v>0.38976769911504433</v>
      </c>
      <c r="AC2">
        <v>3.3683628318584076E-2</v>
      </c>
      <c r="AD2">
        <v>0.18639380530973457</v>
      </c>
      <c r="AE2">
        <v>8.7942477876106224E-3</v>
      </c>
      <c r="AF2">
        <v>8.573008849557525E-3</v>
      </c>
      <c r="AG2">
        <v>0</v>
      </c>
      <c r="AH2">
        <f>(((BZ2+1000)/(CD2+1000))-1)*1000</f>
        <v>1.2171411472294835</v>
      </c>
      <c r="AI2" s="24">
        <f>AZ2-AN2</f>
        <v>-17.236582912970675</v>
      </c>
      <c r="AJ2" s="22">
        <v>-214.97700706702042</v>
      </c>
      <c r="AK2" s="22">
        <v>1.6650205837119523</v>
      </c>
      <c r="AL2" s="22">
        <v>-185.78411044399161</v>
      </c>
      <c r="AM2" s="22">
        <v>0.52821757231373612</v>
      </c>
      <c r="AN2" s="22">
        <v>-187.37383081678553</v>
      </c>
      <c r="AO2" s="22">
        <v>0.25155522125550295</v>
      </c>
      <c r="AP2" s="22">
        <v>-184.88745104527101</v>
      </c>
      <c r="AQ2" s="22">
        <v>1.3705722814584618</v>
      </c>
      <c r="AR2" s="22">
        <v>-188.0000719848268</v>
      </c>
      <c r="AS2" s="22">
        <v>4.4589218531052781</v>
      </c>
      <c r="AT2" s="22">
        <v>-191.07480305343898</v>
      </c>
      <c r="AU2" s="22">
        <v>1.8880900269706737</v>
      </c>
      <c r="AV2" s="22">
        <v>-197.61259690389502</v>
      </c>
      <c r="AW2" s="22">
        <v>3.7828085938624314</v>
      </c>
      <c r="AX2" s="22">
        <v>-203.18369752623363</v>
      </c>
      <c r="AY2" s="22">
        <v>1.0641905414806674</v>
      </c>
      <c r="AZ2" s="22">
        <v>-204.6104137297562</v>
      </c>
      <c r="BA2" s="22">
        <v>0.28024421841092689</v>
      </c>
      <c r="BB2" s="22">
        <v>-188.42251124778045</v>
      </c>
      <c r="BC2" s="22">
        <v>4.3808320700418459</v>
      </c>
      <c r="BD2" s="22">
        <v>-191.47146277750875</v>
      </c>
      <c r="BE2" s="22">
        <v>2.4467261457861289</v>
      </c>
      <c r="BF2" s="22">
        <v>-32.706911862573108</v>
      </c>
      <c r="BG2" s="22">
        <v>1.9061170033561643</v>
      </c>
      <c r="BH2" s="22">
        <v>-42.067204447389344</v>
      </c>
      <c r="BI2" s="22">
        <v>0.74975286150126252</v>
      </c>
      <c r="BJ2" s="22">
        <v>-31.26013397320628</v>
      </c>
      <c r="BK2" s="22">
        <v>7.2775118509918219E-2</v>
      </c>
      <c r="BL2" s="22">
        <v>-30.704770209768814</v>
      </c>
      <c r="BM2" s="22">
        <v>1.0750324864433565E-2</v>
      </c>
      <c r="BN2" s="22">
        <v>-31.207487041152262</v>
      </c>
      <c r="BO2" s="22">
        <v>6.5958406545599285E-2</v>
      </c>
      <c r="BP2" s="22">
        <v>-30.454184180180086</v>
      </c>
      <c r="BQ2" s="22">
        <v>6.1312045839706578E-2</v>
      </c>
      <c r="BR2" s="22">
        <v>-31.077016631381291</v>
      </c>
      <c r="BS2" s="22">
        <v>5.214290857714126E-2</v>
      </c>
      <c r="BT2" s="22">
        <v>-30.534491627779985</v>
      </c>
      <c r="BU2" s="22">
        <v>0.49889285729084848</v>
      </c>
      <c r="BV2" s="22">
        <v>-32.019327287663913</v>
      </c>
      <c r="BW2" s="22">
        <v>2.1706249933099844E-2</v>
      </c>
      <c r="BX2" s="22">
        <v>-31.604565312929157</v>
      </c>
      <c r="BY2" s="22">
        <v>0.29830441071449604</v>
      </c>
      <c r="BZ2" s="22">
        <v>-33.21556357910471</v>
      </c>
      <c r="CA2" s="22">
        <v>0.1827213731547509</v>
      </c>
      <c r="CB2" s="22">
        <v>-32.497071466565941</v>
      </c>
      <c r="CC2" s="22">
        <v>0.31197897411883613</v>
      </c>
      <c r="CD2" s="22">
        <v>-34.390846212321101</v>
      </c>
      <c r="CE2" s="22">
        <v>0.23785317017239976</v>
      </c>
    </row>
    <row r="3" spans="1:83" x14ac:dyDescent="0.3">
      <c r="A3">
        <v>224</v>
      </c>
      <c r="B3">
        <v>24185</v>
      </c>
      <c r="C3">
        <v>23204</v>
      </c>
      <c r="D3">
        <v>25085</v>
      </c>
      <c r="E3">
        <v>2.5042237708469921</v>
      </c>
      <c r="F3">
        <v>29.879500148765249</v>
      </c>
      <c r="G3">
        <v>0.69891503153339174</v>
      </c>
      <c r="H3">
        <f t="shared" ref="H3:H28" si="0">AB3/X3</f>
        <v>1.7616099071207432</v>
      </c>
      <c r="I3">
        <v>1.0498154981549817</v>
      </c>
      <c r="K3">
        <f t="shared" ref="K3:K28" si="1">(X3+Z3+AB3)/(L3+N3+P3)</f>
        <v>2.851317540722877</v>
      </c>
      <c r="L3">
        <v>0</v>
      </c>
      <c r="M3">
        <v>3.7584955611940554E-3</v>
      </c>
      <c r="N3">
        <v>6.458259978389785E-3</v>
      </c>
      <c r="O3">
        <v>1.1857788812781244E-2</v>
      </c>
      <c r="P3">
        <v>4.7695838037124565E-2</v>
      </c>
      <c r="Q3">
        <v>5.9077197835106558E-2</v>
      </c>
      <c r="R3">
        <v>0.19569184644463278</v>
      </c>
      <c r="S3">
        <v>0.27026439853136069</v>
      </c>
      <c r="T3">
        <v>0.20383888418171153</v>
      </c>
      <c r="U3">
        <v>9.5483282278563536E-2</v>
      </c>
      <c r="V3">
        <v>5.730083208412088E-2</v>
      </c>
      <c r="W3">
        <v>3.4652067175041823E-2</v>
      </c>
      <c r="X3">
        <v>3.4780056521822061E-2</v>
      </c>
      <c r="Y3">
        <v>1.9597431229014289E-2</v>
      </c>
      <c r="Z3">
        <v>5.8361580912778814E-2</v>
      </c>
      <c r="AA3">
        <v>8.1835427110169556E-3</v>
      </c>
      <c r="AB3">
        <v>6.1268892139061157E-2</v>
      </c>
      <c r="AC3">
        <v>4.79167961368756E-3</v>
      </c>
      <c r="AD3">
        <v>2.6542674714022101E-2</v>
      </c>
      <c r="AE3">
        <v>0</v>
      </c>
      <c r="AF3">
        <v>0</v>
      </c>
      <c r="AG3">
        <v>4.264825595168141E-2</v>
      </c>
      <c r="AI3" s="24"/>
    </row>
    <row r="4" spans="1:83" x14ac:dyDescent="0.3">
      <c r="A4">
        <v>223</v>
      </c>
      <c r="B4">
        <v>23595</v>
      </c>
      <c r="C4">
        <v>22207</v>
      </c>
      <c r="D4">
        <v>24951</v>
      </c>
      <c r="AI4" s="24"/>
    </row>
    <row r="5" spans="1:83" x14ac:dyDescent="0.3">
      <c r="A5">
        <v>221</v>
      </c>
      <c r="B5">
        <v>22433</v>
      </c>
      <c r="C5">
        <v>20958</v>
      </c>
      <c r="D5">
        <v>23818</v>
      </c>
      <c r="E5">
        <v>4.088226047091239</v>
      </c>
      <c r="F5">
        <v>30.091277890466529</v>
      </c>
      <c r="G5">
        <v>0.74775201135825842</v>
      </c>
      <c r="H5">
        <f t="shared" si="0"/>
        <v>2.1999999999999997</v>
      </c>
      <c r="I5">
        <v>1.260416666666667</v>
      </c>
      <c r="J5">
        <v>0.98781250912233853</v>
      </c>
      <c r="K5">
        <f t="shared" si="1"/>
        <v>1.5647171620325981</v>
      </c>
      <c r="L5">
        <v>0</v>
      </c>
      <c r="M5">
        <v>3.3738938053097349E-3</v>
      </c>
      <c r="N5">
        <v>6.1946902654867273E-3</v>
      </c>
      <c r="O5">
        <v>1.9247787610619474E-2</v>
      </c>
      <c r="P5">
        <v>5.1493362831858416E-2</v>
      </c>
      <c r="Q5">
        <v>3.584070796460178E-2</v>
      </c>
      <c r="R5">
        <v>0.10807522123893806</v>
      </c>
      <c r="S5">
        <v>0.18357300884955755</v>
      </c>
      <c r="T5">
        <v>0.17477876106194692</v>
      </c>
      <c r="U5">
        <v>8.3130530973451341E-2</v>
      </c>
      <c r="V5">
        <v>3.1637168141592918E-2</v>
      </c>
      <c r="W5">
        <v>1.4712389380530976E-2</v>
      </c>
      <c r="X5">
        <v>1.8252212389380535E-2</v>
      </c>
      <c r="Y5">
        <v>8.2964601769911514E-4</v>
      </c>
      <c r="Z5">
        <v>3.1858407079646017E-2</v>
      </c>
      <c r="AA5">
        <v>3.1526548672566371E-3</v>
      </c>
      <c r="AB5">
        <v>4.0154867256637174E-2</v>
      </c>
      <c r="AC5">
        <v>1.9358407079646017E-3</v>
      </c>
      <c r="AD5">
        <v>1.8805309734513276E-2</v>
      </c>
      <c r="AE5">
        <v>0</v>
      </c>
      <c r="AF5">
        <v>0</v>
      </c>
      <c r="AG5">
        <v>0</v>
      </c>
      <c r="AH5">
        <f>(((BZ5+1000)/(CD5+1000))-1)*1000</f>
        <v>0.4340605282924237</v>
      </c>
      <c r="AI5" s="24"/>
      <c r="AJ5" s="22">
        <v>-175.28696019000915</v>
      </c>
      <c r="AK5" s="22">
        <v>2.5399190787547368</v>
      </c>
      <c r="AL5" s="23"/>
      <c r="AM5" s="23"/>
      <c r="AN5" s="22">
        <v>-109.72464145210459</v>
      </c>
      <c r="AO5" s="22">
        <v>1.7003818479405475</v>
      </c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2">
        <v>-33.431397267846108</v>
      </c>
      <c r="BG5" s="22">
        <v>0.13921573564217932</v>
      </c>
      <c r="BH5" s="23"/>
      <c r="BI5" s="23"/>
      <c r="BJ5" s="22">
        <v>-31.388693674095929</v>
      </c>
      <c r="BK5" s="22">
        <v>0.12722334383607203</v>
      </c>
      <c r="BL5" s="22">
        <v>-30.058523820439689</v>
      </c>
      <c r="BM5" s="22">
        <v>0.48980772961017871</v>
      </c>
      <c r="BN5" s="22">
        <v>-31.248658257509422</v>
      </c>
      <c r="BO5" s="22">
        <v>0.14721702993918831</v>
      </c>
      <c r="BP5" s="22">
        <v>-31.539698583065757</v>
      </c>
      <c r="BQ5" s="22">
        <v>2.5277920893876767E-2</v>
      </c>
      <c r="BR5" s="22">
        <v>-31.871337630749004</v>
      </c>
      <c r="BS5" s="22">
        <v>0.28703268478999489</v>
      </c>
      <c r="BT5" s="23"/>
      <c r="BU5" s="23"/>
      <c r="BV5" s="22">
        <v>-32.329409465784259</v>
      </c>
      <c r="BW5" s="22">
        <v>0.28261567021123085</v>
      </c>
      <c r="BX5" s="23"/>
      <c r="BY5" s="23"/>
      <c r="BZ5" s="22">
        <v>-33.971292892031272</v>
      </c>
      <c r="CA5" s="22">
        <v>0.24074524490319613</v>
      </c>
      <c r="CB5" s="23"/>
      <c r="CC5" s="23"/>
      <c r="CD5" s="22">
        <v>-34.390425893891972</v>
      </c>
      <c r="CE5" s="22">
        <v>0.47961021643798563</v>
      </c>
    </row>
    <row r="6" spans="1:83" x14ac:dyDescent="0.3">
      <c r="A6">
        <v>218</v>
      </c>
      <c r="B6">
        <v>20715</v>
      </c>
      <c r="C6">
        <v>20223</v>
      </c>
      <c r="D6">
        <v>21000</v>
      </c>
      <c r="AI6" s="24"/>
    </row>
    <row r="7" spans="1:83" x14ac:dyDescent="0.3">
      <c r="A7" s="4">
        <v>216</v>
      </c>
      <c r="B7">
        <v>18744</v>
      </c>
      <c r="C7">
        <v>17409</v>
      </c>
      <c r="D7">
        <v>20095</v>
      </c>
      <c r="E7">
        <v>2.5940600738987838</v>
      </c>
      <c r="F7">
        <v>29.775343861436582</v>
      </c>
      <c r="G7">
        <v>0.75319380266376734</v>
      </c>
      <c r="H7">
        <f t="shared" si="0"/>
        <v>1.4141876430205949</v>
      </c>
      <c r="I7">
        <v>1</v>
      </c>
      <c r="K7">
        <f t="shared" si="1"/>
        <v>2.307586206896552</v>
      </c>
      <c r="L7">
        <v>1.8691588785046728E-3</v>
      </c>
      <c r="M7">
        <v>1.1682242990654207E-3</v>
      </c>
      <c r="N7">
        <v>3.1542056074766356E-3</v>
      </c>
      <c r="O7">
        <v>8.8200934579439269E-3</v>
      </c>
      <c r="P7">
        <v>3.7324766355140183E-2</v>
      </c>
      <c r="Q7">
        <v>2.2371495327102801E-2</v>
      </c>
      <c r="R7">
        <v>8.5514018691588797E-2</v>
      </c>
      <c r="S7">
        <v>0.17009345794392525</v>
      </c>
      <c r="T7">
        <v>0.16185747663551403</v>
      </c>
      <c r="U7">
        <v>8.3002336448598141E-2</v>
      </c>
      <c r="V7">
        <v>3.5455607476635516E-2</v>
      </c>
      <c r="W7">
        <v>2.3189252336448599E-2</v>
      </c>
      <c r="X7">
        <v>2.552570093457944E-2</v>
      </c>
      <c r="Y7">
        <v>1.6939252336448595E-3</v>
      </c>
      <c r="Z7">
        <v>3.6098130841121491E-2</v>
      </c>
      <c r="AA7">
        <v>8.2359813084112131E-3</v>
      </c>
      <c r="AB7">
        <v>3.6098130841121491E-2</v>
      </c>
      <c r="AC7">
        <v>4.9065420560747662E-3</v>
      </c>
      <c r="AD7">
        <v>1.6939252336448597E-2</v>
      </c>
      <c r="AE7">
        <v>0</v>
      </c>
      <c r="AF7">
        <v>0</v>
      </c>
      <c r="AG7">
        <v>0</v>
      </c>
      <c r="AI7" s="24"/>
      <c r="AJ7" s="22">
        <v>-175.43965502289615</v>
      </c>
      <c r="AK7" s="22">
        <v>3.7139674431226517</v>
      </c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2">
        <v>-31.569093032030693</v>
      </c>
      <c r="BK7" s="22">
        <v>0.26655254412747398</v>
      </c>
      <c r="BL7" s="22">
        <v>-30.490550369533054</v>
      </c>
      <c r="BM7" s="22">
        <v>0.80203851207971766</v>
      </c>
      <c r="BN7" s="22">
        <v>-31.708986431473846</v>
      </c>
      <c r="BO7" s="22">
        <v>0.10319794956902924</v>
      </c>
      <c r="BP7" s="22">
        <v>-32.256883484630777</v>
      </c>
      <c r="BQ7" s="22">
        <v>1.4640004835936242</v>
      </c>
      <c r="BR7" s="22">
        <v>-31.742947529982452</v>
      </c>
      <c r="BS7" s="22">
        <v>0.46902958243291404</v>
      </c>
      <c r="BT7" s="22">
        <v>-31.091927261837291</v>
      </c>
      <c r="BU7" s="22">
        <v>0.23942957427366063</v>
      </c>
      <c r="BV7" s="22">
        <v>-31.981715048974287</v>
      </c>
      <c r="BW7" s="22">
        <v>1.1150588335751503</v>
      </c>
      <c r="BX7" s="23"/>
      <c r="BY7" s="23"/>
      <c r="BZ7" s="22">
        <v>-32.911291515861294</v>
      </c>
      <c r="CA7" s="22">
        <v>1.4263117163082668</v>
      </c>
      <c r="CB7" s="23"/>
      <c r="CC7" s="23"/>
      <c r="CD7" s="23"/>
      <c r="CE7" s="23"/>
    </row>
    <row r="8" spans="1:83" x14ac:dyDescent="0.3">
      <c r="A8" s="4">
        <v>215</v>
      </c>
      <c r="B8">
        <v>17346</v>
      </c>
      <c r="C8">
        <v>14956</v>
      </c>
      <c r="D8">
        <v>19840</v>
      </c>
      <c r="E8">
        <v>1.3802268333480938</v>
      </c>
      <c r="F8">
        <v>29.16013659237958</v>
      </c>
      <c r="G8">
        <v>0.21537066424846968</v>
      </c>
      <c r="H8">
        <f t="shared" si="0"/>
        <v>0.51584835301429455</v>
      </c>
      <c r="I8">
        <v>0.61947410724537821</v>
      </c>
      <c r="J8">
        <v>0.96127112986787344</v>
      </c>
      <c r="K8">
        <f>(X8+Z8+AB8)/(L8+N8+P8)</f>
        <v>86.946902654867273</v>
      </c>
      <c r="L8">
        <v>1.6471838469713071E-3</v>
      </c>
      <c r="M8">
        <v>0</v>
      </c>
      <c r="N8">
        <v>1.6471838469713071E-3</v>
      </c>
      <c r="O8">
        <v>4.1976620616365574E-3</v>
      </c>
      <c r="P8">
        <v>2.6726886291179596E-2</v>
      </c>
      <c r="Q8">
        <v>4.8884165781083958E-3</v>
      </c>
      <c r="R8">
        <v>2.9596174282678005E-2</v>
      </c>
      <c r="S8">
        <v>8.1402763018065885E-2</v>
      </c>
      <c r="T8">
        <v>0.25239107332624866</v>
      </c>
      <c r="U8">
        <v>0.49516471838469717</v>
      </c>
      <c r="V8">
        <v>0.713230605738576</v>
      </c>
      <c r="W8">
        <v>1.1075451647183847</v>
      </c>
      <c r="X8">
        <v>1.1114240170031882</v>
      </c>
      <c r="Y8">
        <v>0.11062699256110523</v>
      </c>
      <c r="Z8">
        <v>0.92550478214665266</v>
      </c>
      <c r="AA8">
        <v>0.69107332624867168</v>
      </c>
      <c r="AB8">
        <v>0.57332624867162596</v>
      </c>
      <c r="AC8">
        <v>0.39027630180658879</v>
      </c>
      <c r="AD8">
        <v>0.26370882040382576</v>
      </c>
      <c r="AE8">
        <v>0.12938363443145592</v>
      </c>
      <c r="AF8">
        <v>8.2465462274176407E-2</v>
      </c>
      <c r="AG8">
        <v>3.815090329436769E-2</v>
      </c>
      <c r="AH8">
        <f t="shared" ref="AH8:AH13" si="2">(((BZ8+1000)/(CD8+1000))-1)*1000</f>
        <v>1.3495621282253456</v>
      </c>
      <c r="AI8" s="24"/>
      <c r="AJ8" s="23"/>
      <c r="AK8" s="23"/>
      <c r="AL8" s="23"/>
      <c r="AM8" s="23"/>
      <c r="AN8" s="22">
        <v>-175.41788986046129</v>
      </c>
      <c r="AO8" s="22">
        <v>3.4363059220123504</v>
      </c>
      <c r="AP8" s="22">
        <v>-188.87159454362583</v>
      </c>
      <c r="AQ8" s="22">
        <v>1.2636624949801791</v>
      </c>
      <c r="AR8" s="22">
        <v>-185.46481017281985</v>
      </c>
      <c r="AS8" s="22">
        <v>1.1876785985292311</v>
      </c>
      <c r="AT8" s="22">
        <v>-183.68475181732981</v>
      </c>
      <c r="AU8" s="22">
        <v>0.49689817711196743</v>
      </c>
      <c r="AV8" s="22">
        <v>-182.2609024770635</v>
      </c>
      <c r="AW8" s="22">
        <v>0.68712906432513277</v>
      </c>
      <c r="AX8" s="22">
        <v>-180.40875863858028</v>
      </c>
      <c r="AY8" s="22">
        <v>1.3111294489823275</v>
      </c>
      <c r="AZ8" s="22">
        <v>-182.54752627732148</v>
      </c>
      <c r="BA8" s="22">
        <v>1.5340896507851038</v>
      </c>
      <c r="BB8" s="22">
        <v>-180.43316059437649</v>
      </c>
      <c r="BC8" s="22">
        <v>1.0691897617593669</v>
      </c>
      <c r="BD8" s="22">
        <v>-183.25228339073601</v>
      </c>
      <c r="BE8" s="22">
        <v>1.9287208302421943</v>
      </c>
      <c r="BF8" s="22">
        <v>-34.731390203759915</v>
      </c>
      <c r="BG8" s="22">
        <v>0.33354011765076003</v>
      </c>
      <c r="BH8" s="23"/>
      <c r="BI8" s="23"/>
      <c r="BJ8" s="22">
        <v>-31.996203709878035</v>
      </c>
      <c r="BK8" s="22">
        <v>0.67461479574590111</v>
      </c>
      <c r="BL8" s="22">
        <v>-30.756848245907115</v>
      </c>
      <c r="BM8" s="22">
        <v>0.76666034099325275</v>
      </c>
      <c r="BN8" s="22">
        <v>-30.621514039592121</v>
      </c>
      <c r="BO8" s="22">
        <v>0.27070103216213831</v>
      </c>
      <c r="BP8" s="22">
        <v>-30.276126127291064</v>
      </c>
      <c r="BQ8" s="22">
        <v>0.14613617715749844</v>
      </c>
      <c r="BR8" s="22">
        <v>-30.363942639824053</v>
      </c>
      <c r="BS8" s="22">
        <v>0.10561752365645263</v>
      </c>
      <c r="BT8" s="22">
        <v>-30.707678206793606</v>
      </c>
      <c r="BU8" s="22">
        <v>0.1847548384826351</v>
      </c>
      <c r="BV8" s="22">
        <v>-31.119884043298946</v>
      </c>
      <c r="BW8" s="22">
        <v>0.21904091511361604</v>
      </c>
      <c r="BX8" s="22">
        <v>-31.704057791423601</v>
      </c>
      <c r="BY8" s="22">
        <v>3.3040654620717001E-2</v>
      </c>
      <c r="BZ8" s="22">
        <v>-32.368908628927564</v>
      </c>
      <c r="CA8" s="22">
        <v>8.5897189671379007E-3</v>
      </c>
      <c r="CB8" s="22">
        <v>-32.780070842612943</v>
      </c>
      <c r="CC8" s="22">
        <v>0.12188948149905635</v>
      </c>
      <c r="CD8" s="22">
        <v>-33.673026915285249</v>
      </c>
      <c r="CE8" s="22">
        <v>0.63281696536788945</v>
      </c>
    </row>
    <row r="9" spans="1:83" x14ac:dyDescent="0.3">
      <c r="A9">
        <v>212</v>
      </c>
      <c r="B9">
        <v>16647</v>
      </c>
      <c r="C9">
        <v>13748</v>
      </c>
      <c r="D9">
        <v>19730</v>
      </c>
      <c r="E9">
        <v>3.6651404551679927</v>
      </c>
      <c r="F9">
        <v>29.667530784186653</v>
      </c>
      <c r="G9">
        <v>0.69064084831719685</v>
      </c>
      <c r="H9">
        <f t="shared" si="0"/>
        <v>1.2261103633916555</v>
      </c>
      <c r="I9">
        <v>0.91008991008991003</v>
      </c>
      <c r="J9">
        <v>0.96964288967282419</v>
      </c>
      <c r="K9">
        <f t="shared" si="1"/>
        <v>3.7132867132867129</v>
      </c>
      <c r="L9">
        <v>2.005174644243208E-3</v>
      </c>
      <c r="M9">
        <v>1.7464424320827944E-3</v>
      </c>
      <c r="N9">
        <v>5.2393272962483837E-3</v>
      </c>
      <c r="O9">
        <v>1.3648124191461835E-2</v>
      </c>
      <c r="P9">
        <v>3.9003880983182408E-2</v>
      </c>
      <c r="Q9">
        <v>3.0012936610608016E-2</v>
      </c>
      <c r="R9">
        <v>0.10265200517464423</v>
      </c>
      <c r="S9">
        <v>0.17639068564036223</v>
      </c>
      <c r="T9">
        <v>0.19379042690815007</v>
      </c>
      <c r="U9">
        <v>9.5084087968952125E-2</v>
      </c>
      <c r="V9">
        <v>6.4424320827943082E-2</v>
      </c>
      <c r="W9">
        <v>3.4023285899094438E-2</v>
      </c>
      <c r="X9">
        <v>4.8059508408796893E-2</v>
      </c>
      <c r="Y9">
        <v>2.1992238033635187E-3</v>
      </c>
      <c r="Z9">
        <v>6.4747736093143604E-2</v>
      </c>
      <c r="AA9">
        <v>8.2794307891332474E-3</v>
      </c>
      <c r="AB9">
        <v>5.8926261319534282E-2</v>
      </c>
      <c r="AC9">
        <v>3.6222509702457961E-3</v>
      </c>
      <c r="AD9">
        <v>2.7878395860284604E-2</v>
      </c>
      <c r="AE9">
        <v>0</v>
      </c>
      <c r="AF9">
        <v>0</v>
      </c>
      <c r="AG9">
        <v>0</v>
      </c>
      <c r="AH9">
        <f t="shared" si="2"/>
        <v>1.0862400375013515</v>
      </c>
      <c r="AI9" s="24"/>
      <c r="AJ9" s="22">
        <v>-128.56185760305328</v>
      </c>
      <c r="AK9" s="22">
        <v>4.6218749905685454</v>
      </c>
      <c r="AL9" s="23"/>
      <c r="AM9" s="23"/>
      <c r="AN9" s="23"/>
      <c r="AO9" s="23"/>
      <c r="AP9" s="23"/>
      <c r="AQ9" s="23"/>
      <c r="AR9" s="22">
        <v>-94.204275074853598</v>
      </c>
      <c r="AS9" s="22">
        <v>0.15612200144507468</v>
      </c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2">
        <v>-31.444492809572061</v>
      </c>
      <c r="BK9" s="22">
        <v>0.23101839683979516</v>
      </c>
      <c r="BL9" s="22">
        <v>-30.75435888399533</v>
      </c>
      <c r="BM9" s="22">
        <v>0.18929375415517818</v>
      </c>
      <c r="BN9" s="22">
        <v>-32.061995314824564</v>
      </c>
      <c r="BO9" s="22">
        <v>0.23772342430727442</v>
      </c>
      <c r="BP9" s="22">
        <v>-31.683433480710477</v>
      </c>
      <c r="BQ9" s="22">
        <v>0.18517320238846652</v>
      </c>
      <c r="BR9" s="22">
        <v>-31.901820753991231</v>
      </c>
      <c r="BS9" s="22">
        <v>0.37547573443507293</v>
      </c>
      <c r="BT9" s="22">
        <v>-31.679424559470498</v>
      </c>
      <c r="BU9" s="22">
        <v>1.7429159109805418E-2</v>
      </c>
      <c r="BV9" s="22">
        <v>-32.037925106361087</v>
      </c>
      <c r="BW9" s="22">
        <v>0.11277640447691963</v>
      </c>
      <c r="BX9" s="22">
        <v>-31.470316178436882</v>
      </c>
      <c r="BY9" s="22">
        <v>8.9533927329114235E-2</v>
      </c>
      <c r="BZ9" s="22">
        <v>-33.497223311937276</v>
      </c>
      <c r="CA9" s="22">
        <v>0.2813303084656959</v>
      </c>
      <c r="CB9" s="23"/>
      <c r="CC9" s="23"/>
      <c r="CD9" s="22">
        <v>-34.545938168267156</v>
      </c>
      <c r="CE9" s="22">
        <v>0.14855113229305136</v>
      </c>
    </row>
    <row r="10" spans="1:83" x14ac:dyDescent="0.3">
      <c r="A10">
        <v>210</v>
      </c>
      <c r="B10">
        <v>15386</v>
      </c>
      <c r="C10">
        <v>13558</v>
      </c>
      <c r="D10">
        <v>17281</v>
      </c>
      <c r="E10">
        <v>2.5105188235303073</v>
      </c>
      <c r="F10">
        <v>29.807387862796833</v>
      </c>
      <c r="G10">
        <v>0.71485657199942909</v>
      </c>
      <c r="H10">
        <f t="shared" si="0"/>
        <v>1.3199598796389165</v>
      </c>
      <c r="I10">
        <v>1.120954003407155</v>
      </c>
      <c r="J10">
        <v>0.9863737058127191</v>
      </c>
      <c r="K10">
        <f t="shared" si="1"/>
        <v>2.9676595744680858</v>
      </c>
      <c r="L10">
        <v>0</v>
      </c>
      <c r="M10">
        <v>9.0012330456226888E-3</v>
      </c>
      <c r="N10">
        <v>1.4180024660912454E-2</v>
      </c>
      <c r="O10">
        <v>2.3674475955610359E-2</v>
      </c>
      <c r="P10">
        <v>5.8261405672009867E-2</v>
      </c>
      <c r="Q10">
        <v>3.3292231812577067E-2</v>
      </c>
      <c r="R10">
        <v>0.13039457459926015</v>
      </c>
      <c r="S10">
        <v>0.24346485819975341</v>
      </c>
      <c r="T10">
        <v>0.30881627620221952</v>
      </c>
      <c r="U10">
        <v>0.17546239210850803</v>
      </c>
      <c r="V10">
        <v>8.9889025893958099E-2</v>
      </c>
      <c r="W10">
        <v>5.3020961775585698E-2</v>
      </c>
      <c r="X10">
        <v>6.1467324290998777E-2</v>
      </c>
      <c r="Y10">
        <v>2.4414303329223185E-2</v>
      </c>
      <c r="Z10">
        <v>7.2379778051787927E-2</v>
      </c>
      <c r="AA10">
        <v>9.0012330456226888E-3</v>
      </c>
      <c r="AB10">
        <v>8.1134401972872999E-2</v>
      </c>
      <c r="AC10">
        <v>6.5967940813810126E-3</v>
      </c>
      <c r="AD10">
        <v>4.2046855733662153E-2</v>
      </c>
      <c r="AE10">
        <v>0</v>
      </c>
      <c r="AF10">
        <v>0</v>
      </c>
      <c r="AG10">
        <v>0</v>
      </c>
      <c r="AH10">
        <f t="shared" si="2"/>
        <v>0.47938361974630972</v>
      </c>
      <c r="AI10" s="24"/>
      <c r="AJ10" s="22">
        <v>-151.17020475281674</v>
      </c>
      <c r="AK10" s="22">
        <v>2.2040355077940905</v>
      </c>
      <c r="AL10" s="23"/>
      <c r="AM10" s="23"/>
      <c r="AN10" s="22">
        <v>-120.32663533281143</v>
      </c>
      <c r="AO10" s="22">
        <v>4.5433555951154787</v>
      </c>
      <c r="AP10" s="22">
        <v>-112.90735076178456</v>
      </c>
      <c r="AQ10" s="22">
        <v>0.99014564302066355</v>
      </c>
      <c r="AR10" s="22">
        <v>-112.84670945610121</v>
      </c>
      <c r="AS10" s="22">
        <v>3.0244418210429203</v>
      </c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2">
        <v>-34.637969036890681</v>
      </c>
      <c r="BG10" s="22">
        <v>0.54530229107415529</v>
      </c>
      <c r="BH10" s="22">
        <v>-31.875735551165747</v>
      </c>
      <c r="BI10" s="22">
        <v>1.2847148509305377</v>
      </c>
      <c r="BJ10" s="22">
        <v>-31.269435097057737</v>
      </c>
      <c r="BK10" s="22">
        <v>4.5345046354611966E-3</v>
      </c>
      <c r="BL10" s="22">
        <v>-30.95525372669427</v>
      </c>
      <c r="BM10" s="22">
        <v>4.2708706206673233E-2</v>
      </c>
      <c r="BN10" s="22">
        <v>-31.369312072870613</v>
      </c>
      <c r="BO10" s="22">
        <v>0.16566230247696367</v>
      </c>
      <c r="BP10" s="22">
        <v>-31.127019353563689</v>
      </c>
      <c r="BQ10" s="22">
        <v>0.1904974708891716</v>
      </c>
      <c r="BR10" s="22">
        <v>-31.005477054243819</v>
      </c>
      <c r="BS10" s="22">
        <v>3.0535301203641008E-2</v>
      </c>
      <c r="BT10" s="22">
        <v>-32.570820501681652</v>
      </c>
      <c r="BU10" s="22">
        <v>0.48558768321278262</v>
      </c>
      <c r="BV10" s="22">
        <v>-32.967670215835255</v>
      </c>
      <c r="BW10" s="22">
        <v>0.606175863957509</v>
      </c>
      <c r="BX10" s="22">
        <v>-32.693343691738669</v>
      </c>
      <c r="BY10" s="22">
        <v>0.40167269653657717</v>
      </c>
      <c r="BZ10" s="22">
        <v>-33.5220613985379</v>
      </c>
      <c r="CA10" s="22">
        <v>5.2199406402822945E-2</v>
      </c>
      <c r="CB10" s="23"/>
      <c r="CC10" s="23"/>
      <c r="CD10" s="22">
        <v>-33.985153092577136</v>
      </c>
      <c r="CE10" s="22">
        <v>0.23760363740244098</v>
      </c>
    </row>
    <row r="11" spans="1:83" x14ac:dyDescent="0.3">
      <c r="A11">
        <v>207</v>
      </c>
      <c r="B11">
        <v>13494</v>
      </c>
      <c r="C11">
        <v>12830</v>
      </c>
      <c r="D11">
        <v>14172</v>
      </c>
      <c r="E11">
        <v>5.1512020402455754</v>
      </c>
      <c r="F11">
        <v>30.072282118009458</v>
      </c>
      <c r="G11">
        <v>0.38634808039325497</v>
      </c>
      <c r="H11">
        <f t="shared" si="0"/>
        <v>1.784313725490196</v>
      </c>
      <c r="I11">
        <v>1.152533039647577</v>
      </c>
      <c r="J11">
        <v>0.9792810771602759</v>
      </c>
      <c r="K11">
        <f t="shared" si="1"/>
        <v>7.7234042553191475</v>
      </c>
      <c r="L11">
        <v>2.8571428571428576E-3</v>
      </c>
      <c r="M11">
        <v>1.1285714285714288E-2</v>
      </c>
      <c r="N11">
        <v>2.7642857142857143E-2</v>
      </c>
      <c r="O11">
        <v>2.9142857142857144E-2</v>
      </c>
      <c r="P11">
        <v>0.11050000000000001</v>
      </c>
      <c r="Q11">
        <v>4.0857142857142856E-2</v>
      </c>
      <c r="R11">
        <v>0.21121428571428574</v>
      </c>
      <c r="S11">
        <v>0.26614285714285713</v>
      </c>
      <c r="T11">
        <v>0.44350000000000006</v>
      </c>
      <c r="U11">
        <v>0.21228571428571427</v>
      </c>
      <c r="V11">
        <v>0.18435714285714286</v>
      </c>
      <c r="W11">
        <v>0.11114285714285714</v>
      </c>
      <c r="X11">
        <v>0.25135714285714289</v>
      </c>
      <c r="Y11">
        <v>8.6428571428571431E-3</v>
      </c>
      <c r="Z11">
        <v>0.38914285714285718</v>
      </c>
      <c r="AA11">
        <v>5.507142857142857E-2</v>
      </c>
      <c r="AB11">
        <v>0.44850000000000001</v>
      </c>
      <c r="AC11">
        <v>3.785714285714286E-2</v>
      </c>
      <c r="AD11">
        <v>0.24385714285714286</v>
      </c>
      <c r="AE11">
        <v>1.2642857142857145E-2</v>
      </c>
      <c r="AF11">
        <v>1.2071428571428571E-2</v>
      </c>
      <c r="AG11">
        <v>0.05</v>
      </c>
      <c r="AH11">
        <f t="shared" si="2"/>
        <v>0.73572888151507421</v>
      </c>
      <c r="AI11" s="24">
        <f>AZ11-AN11</f>
        <v>-21.175471623418304</v>
      </c>
      <c r="AJ11" s="22">
        <v>-210.43442541470881</v>
      </c>
      <c r="AK11" s="22">
        <v>0.41746516267234146</v>
      </c>
      <c r="AL11" s="22">
        <v>-194.1709256046297</v>
      </c>
      <c r="AM11" s="22">
        <v>3.1089032973293196</v>
      </c>
      <c r="AN11" s="22">
        <v>-189.36554594123666</v>
      </c>
      <c r="AO11" s="22">
        <v>0.60445949039641955</v>
      </c>
      <c r="AP11" s="22">
        <v>-182.56009998132618</v>
      </c>
      <c r="AQ11" s="22">
        <v>3.2479578319160316</v>
      </c>
      <c r="AR11" s="22">
        <v>-198.52270647676116</v>
      </c>
      <c r="AS11" s="22">
        <v>3.806101795483503</v>
      </c>
      <c r="AT11" s="22">
        <v>-202.8334789617563</v>
      </c>
      <c r="AU11" s="22">
        <v>4.8331789326627828</v>
      </c>
      <c r="AV11" s="22">
        <v>-204.69632747674231</v>
      </c>
      <c r="AW11" s="22">
        <v>2.1727907343631609</v>
      </c>
      <c r="AX11" s="22">
        <v>-201.68269293300449</v>
      </c>
      <c r="AY11" s="22">
        <v>1.5734581536389178</v>
      </c>
      <c r="AZ11" s="22">
        <v>-210.54101756465496</v>
      </c>
      <c r="BA11" s="22">
        <v>1.6323264973379641</v>
      </c>
      <c r="BB11" s="23"/>
      <c r="BC11" s="23"/>
      <c r="BD11" s="22">
        <v>-205.98790014132726</v>
      </c>
      <c r="BE11" s="22">
        <v>3.4288399070214299</v>
      </c>
      <c r="BF11" s="22">
        <v>-32.566321601907816</v>
      </c>
      <c r="BG11" s="22">
        <v>4.9704261335761835E-2</v>
      </c>
      <c r="BH11" s="22">
        <v>-34.886057478613004</v>
      </c>
      <c r="BI11" s="22">
        <v>0.44662946679795357</v>
      </c>
      <c r="BJ11" s="22">
        <v>-31.482436317158871</v>
      </c>
      <c r="BK11" s="22">
        <v>0.65755090779189618</v>
      </c>
      <c r="BL11" s="22">
        <v>-30.941322109564897</v>
      </c>
      <c r="BM11" s="22">
        <v>0.18757713567793852</v>
      </c>
      <c r="BN11" s="22">
        <v>-32.095987187135222</v>
      </c>
      <c r="BO11" s="22">
        <v>0.23608921793940546</v>
      </c>
      <c r="BP11" s="22">
        <v>-31.086099763072745</v>
      </c>
      <c r="BQ11" s="22">
        <v>6.3707665427301038E-2</v>
      </c>
      <c r="BR11" s="22">
        <v>-31.97926257805311</v>
      </c>
      <c r="BS11" s="22">
        <v>4.1894457274961959E-2</v>
      </c>
      <c r="BT11" s="22">
        <v>-32.099827288888449</v>
      </c>
      <c r="BU11" s="22">
        <v>6.254244381144046E-2</v>
      </c>
      <c r="BV11" s="22">
        <v>-32.970252162108522</v>
      </c>
      <c r="BW11" s="22">
        <v>2.0575086418847034E-3</v>
      </c>
      <c r="BX11" s="22">
        <v>-33.258876367804589</v>
      </c>
      <c r="BY11" s="22">
        <v>0.10769521503335305</v>
      </c>
      <c r="BZ11" s="22">
        <v>-33.581778951685813</v>
      </c>
      <c r="CA11" s="22">
        <v>8.5535569427870661E-2</v>
      </c>
      <c r="CB11" s="23"/>
      <c r="CC11" s="23"/>
      <c r="CD11" s="22">
        <v>-34.292278013853206</v>
      </c>
      <c r="CE11" s="22">
        <v>2.6264127439352802E-2</v>
      </c>
    </row>
    <row r="12" spans="1:83" x14ac:dyDescent="0.3">
      <c r="A12">
        <v>205</v>
      </c>
      <c r="B12">
        <v>13008</v>
      </c>
      <c r="C12">
        <v>12565</v>
      </c>
      <c r="D12">
        <v>13368</v>
      </c>
      <c r="E12">
        <v>6.6021521827825378</v>
      </c>
      <c r="F12">
        <v>29.545454545454543</v>
      </c>
      <c r="G12">
        <v>0.42801556420233461</v>
      </c>
      <c r="H12">
        <f t="shared" si="0"/>
        <v>1.0201310861423221</v>
      </c>
      <c r="I12">
        <v>0.78353110391945335</v>
      </c>
      <c r="J12">
        <v>0.97421658316935777</v>
      </c>
      <c r="K12">
        <f t="shared" si="1"/>
        <v>4.6993377483443712</v>
      </c>
      <c r="L12">
        <v>3.1767955801104975E-3</v>
      </c>
      <c r="M12">
        <v>1.5055248618784533E-2</v>
      </c>
      <c r="N12">
        <v>2.5552486187845308E-2</v>
      </c>
      <c r="O12">
        <v>2.1685082872928179E-2</v>
      </c>
      <c r="P12">
        <v>7.5552486187845311E-2</v>
      </c>
      <c r="Q12">
        <v>3.2320441988950274E-2</v>
      </c>
      <c r="R12">
        <v>0.12320441988950276</v>
      </c>
      <c r="S12">
        <v>0.15573204419889505</v>
      </c>
      <c r="T12">
        <v>0.16712707182320441</v>
      </c>
      <c r="U12">
        <v>7.0441988950276244E-2</v>
      </c>
      <c r="V12">
        <v>6.4157458563535899E-2</v>
      </c>
      <c r="W12">
        <v>3.8397790055248612E-2</v>
      </c>
      <c r="X12">
        <v>0.14751381215469614</v>
      </c>
      <c r="Y12">
        <v>4.005524861878453E-3</v>
      </c>
      <c r="Z12">
        <v>0.19205801104972375</v>
      </c>
      <c r="AA12">
        <v>1.5400552486187845E-2</v>
      </c>
      <c r="AB12">
        <v>0.15048342541436463</v>
      </c>
      <c r="AC12">
        <v>1.084254143646409E-2</v>
      </c>
      <c r="AD12">
        <v>6.8024861878453038E-2</v>
      </c>
      <c r="AE12">
        <v>2.6243093922651939E-3</v>
      </c>
      <c r="AF12">
        <v>4.8342541436464078E-3</v>
      </c>
      <c r="AG12">
        <v>0</v>
      </c>
      <c r="AH12">
        <f t="shared" si="2"/>
        <v>0.9002480106798938</v>
      </c>
      <c r="AI12" s="24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2">
        <v>-35.048638839016881</v>
      </c>
      <c r="BG12" s="22">
        <v>0.28197392798705151</v>
      </c>
      <c r="BH12" s="22">
        <v>-36.052015208833296</v>
      </c>
      <c r="BI12" s="22">
        <v>0.88208842297026702</v>
      </c>
      <c r="BJ12" s="22">
        <v>-31.962176990957282</v>
      </c>
      <c r="BK12" s="22">
        <v>0.62474790231518607</v>
      </c>
      <c r="BL12" s="22">
        <v>-30.887286827799116</v>
      </c>
      <c r="BM12" s="22">
        <v>3.5622362614100449E-2</v>
      </c>
      <c r="BN12" s="22">
        <v>-32.201468148512589</v>
      </c>
      <c r="BO12" s="22">
        <v>2.0312399285406253E-2</v>
      </c>
      <c r="BP12" s="22">
        <v>-31.579022710590053</v>
      </c>
      <c r="BQ12" s="22">
        <v>3.5865299459122211E-3</v>
      </c>
      <c r="BR12" s="22">
        <v>-31.780696535368087</v>
      </c>
      <c r="BS12" s="22">
        <v>0.15217505938663933</v>
      </c>
      <c r="BT12" s="22">
        <v>-31.656094434881332</v>
      </c>
      <c r="BU12" s="22">
        <v>0.78799299456175098</v>
      </c>
      <c r="BV12" s="22">
        <v>-31.911838331020526</v>
      </c>
      <c r="BW12" s="22">
        <v>0.17751659781854612</v>
      </c>
      <c r="BX12" s="22">
        <v>-33.571682283520857</v>
      </c>
      <c r="BY12" s="22">
        <v>0.18319801606229949</v>
      </c>
      <c r="BZ12" s="22">
        <v>-32.867919237665774</v>
      </c>
      <c r="CA12" s="22">
        <v>3.7631339771406785E-2</v>
      </c>
      <c r="CB12" s="22">
        <v>-35.936086175042497</v>
      </c>
      <c r="CC12" s="22">
        <v>0.48925922752078199</v>
      </c>
      <c r="CD12" s="22">
        <v>-33.737794865633091</v>
      </c>
      <c r="CE12" s="22">
        <v>0.27472632684755216</v>
      </c>
    </row>
    <row r="13" spans="1:83" x14ac:dyDescent="0.3">
      <c r="A13">
        <v>203</v>
      </c>
      <c r="B13">
        <v>12521</v>
      </c>
      <c r="C13">
        <v>11969</v>
      </c>
      <c r="D13">
        <v>13097</v>
      </c>
      <c r="E13">
        <v>7.5083114345904303</v>
      </c>
      <c r="F13">
        <v>30.05408102175214</v>
      </c>
      <c r="G13">
        <v>0.39446125203630444</v>
      </c>
      <c r="H13">
        <f t="shared" si="0"/>
        <v>1.7728237791932058</v>
      </c>
      <c r="I13">
        <v>1.1383776414451261</v>
      </c>
      <c r="J13">
        <v>0.94879598196117987</v>
      </c>
      <c r="K13">
        <f t="shared" si="1"/>
        <v>3.0103321033210335</v>
      </c>
      <c r="L13">
        <v>3.3288948069241015E-3</v>
      </c>
      <c r="M13">
        <v>1.3182423435419442E-2</v>
      </c>
      <c r="N13">
        <v>1.7909454061251665E-2</v>
      </c>
      <c r="O13">
        <v>2.4766977363515318E-2</v>
      </c>
      <c r="P13">
        <v>6.8974700399467376E-2</v>
      </c>
      <c r="Q13">
        <v>2.8229027962716383E-2</v>
      </c>
      <c r="R13">
        <v>9.766977363515314E-2</v>
      </c>
      <c r="S13">
        <v>9.234354194407457E-2</v>
      </c>
      <c r="T13">
        <v>0.11284953395472704</v>
      </c>
      <c r="U13">
        <v>3.5552596537949406E-2</v>
      </c>
      <c r="V13">
        <v>3.7616511318242347E-2</v>
      </c>
      <c r="W13">
        <v>1.6977363515312916E-2</v>
      </c>
      <c r="X13">
        <v>6.271637816245007E-2</v>
      </c>
      <c r="Y13">
        <v>1.9307589880159786E-3</v>
      </c>
      <c r="Z13">
        <v>9.766977363515314E-2</v>
      </c>
      <c r="AA13">
        <v>8.1890812250332897E-3</v>
      </c>
      <c r="AB13">
        <v>0.11118508655126498</v>
      </c>
      <c r="AC13">
        <v>7.1904127829560596E-3</v>
      </c>
      <c r="AD13">
        <v>5.8788282290279631E-2</v>
      </c>
      <c r="AE13">
        <v>3.4620505992010654E-3</v>
      </c>
      <c r="AF13">
        <v>3.2623169107856196E-3</v>
      </c>
      <c r="AG13">
        <v>0</v>
      </c>
      <c r="AH13">
        <f t="shared" si="2"/>
        <v>1.848685857403165</v>
      </c>
      <c r="AI13" s="24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2">
        <v>-36.240149125703795</v>
      </c>
      <c r="BG13" s="22">
        <v>0.51801437303189313</v>
      </c>
      <c r="BH13" s="23"/>
      <c r="BI13" s="23"/>
      <c r="BJ13" s="22">
        <v>-31.268062630522635</v>
      </c>
      <c r="BK13" s="22">
        <v>0.30419642317932033</v>
      </c>
      <c r="BL13" s="22">
        <v>-30.501275250384378</v>
      </c>
      <c r="BM13" s="22">
        <v>0.5623329604317201</v>
      </c>
      <c r="BN13" s="22">
        <v>-31.980162387418837</v>
      </c>
      <c r="BO13" s="22">
        <v>9.2997895677261553E-3</v>
      </c>
      <c r="BP13" s="22">
        <v>-31.640692365761822</v>
      </c>
      <c r="BQ13" s="22">
        <v>0.40135152379988359</v>
      </c>
      <c r="BR13" s="22">
        <v>-30.580088175230856</v>
      </c>
      <c r="BS13" s="22">
        <v>0.78052146470828121</v>
      </c>
      <c r="BT13" s="22">
        <v>-36.101448444685268</v>
      </c>
      <c r="BU13" s="22">
        <v>3.268419292803746E-2</v>
      </c>
      <c r="BV13" s="22">
        <v>-32.028198237130539</v>
      </c>
      <c r="BW13" s="22">
        <v>0.41450784554964798</v>
      </c>
      <c r="BX13" s="22">
        <v>-31.295381346409762</v>
      </c>
      <c r="BY13" s="22">
        <v>9.8882140409152344E-2</v>
      </c>
      <c r="BZ13" s="22">
        <v>-33.061947546417926</v>
      </c>
      <c r="CA13" s="22">
        <v>0.28563398964201425</v>
      </c>
      <c r="CB13" s="23"/>
      <c r="CC13" s="23"/>
      <c r="CD13" s="22">
        <v>-34.846213701367319</v>
      </c>
      <c r="CE13" s="22">
        <v>4.6433535298682771E-2</v>
      </c>
    </row>
    <row r="14" spans="1:83" x14ac:dyDescent="0.3">
      <c r="A14">
        <v>200</v>
      </c>
      <c r="B14">
        <v>11954</v>
      </c>
      <c r="C14">
        <v>11425</v>
      </c>
      <c r="D14">
        <v>12455</v>
      </c>
      <c r="E14">
        <v>4.1243339998270594</v>
      </c>
      <c r="F14">
        <v>28.784052670080467</v>
      </c>
      <c r="G14">
        <v>0.54835314791806244</v>
      </c>
      <c r="H14">
        <f t="shared" si="0"/>
        <v>0.44198059720297345</v>
      </c>
      <c r="I14">
        <v>0.43778859353550498</v>
      </c>
      <c r="K14">
        <f t="shared" si="1"/>
        <v>13.965948020021777</v>
      </c>
      <c r="L14">
        <v>0</v>
      </c>
      <c r="M14">
        <v>1.1023703742130559E-2</v>
      </c>
      <c r="N14">
        <v>1.4770322007429833E-2</v>
      </c>
      <c r="O14">
        <v>2.2551759943051402E-2</v>
      </c>
      <c r="P14">
        <v>8.7325025721975397E-2</v>
      </c>
      <c r="Q14">
        <v>0.12407070486241059</v>
      </c>
      <c r="R14">
        <v>0.40303682183436468</v>
      </c>
      <c r="S14">
        <v>0.49196809415034781</v>
      </c>
      <c r="T14">
        <v>0.40525455929860366</v>
      </c>
      <c r="U14">
        <v>0.20920656745987745</v>
      </c>
      <c r="V14">
        <v>0.2681244594264931</v>
      </c>
      <c r="W14">
        <v>0.12751990419374157</v>
      </c>
      <c r="X14">
        <v>0.58161360271726059</v>
      </c>
      <c r="Y14">
        <v>0.10405585433520348</v>
      </c>
      <c r="Z14">
        <v>0.5871827892873136</v>
      </c>
      <c r="AA14">
        <v>6.5950893592734594E-2</v>
      </c>
      <c r="AB14">
        <v>0.25706192747034778</v>
      </c>
      <c r="AC14">
        <v>4.059643894486107E-2</v>
      </c>
      <c r="AD14">
        <v>6.7856141629858036E-2</v>
      </c>
      <c r="AE14">
        <v>1.2164275929326606E-2</v>
      </c>
      <c r="AF14">
        <v>8.8667312496898739E-3</v>
      </c>
      <c r="AG14">
        <v>6.5584499739441623E-2</v>
      </c>
      <c r="AI14" s="24"/>
    </row>
    <row r="15" spans="1:83" x14ac:dyDescent="0.3">
      <c r="A15">
        <v>199</v>
      </c>
      <c r="B15">
        <v>11792</v>
      </c>
      <c r="C15">
        <v>11364</v>
      </c>
      <c r="D15">
        <v>12231</v>
      </c>
      <c r="E15">
        <v>9.1231937466613466</v>
      </c>
      <c r="F15">
        <v>29.207180840100577</v>
      </c>
      <c r="G15">
        <v>0.39979812097212514</v>
      </c>
      <c r="H15">
        <f t="shared" si="0"/>
        <v>0.67558571245679189</v>
      </c>
      <c r="I15">
        <v>0.60529938059187893</v>
      </c>
      <c r="J15">
        <v>0.95634686252518042</v>
      </c>
      <c r="K15">
        <f t="shared" si="1"/>
        <v>10.48869648869649</v>
      </c>
      <c r="L15">
        <v>2.5984251968503942E-3</v>
      </c>
      <c r="M15">
        <v>2.2440944881889767E-2</v>
      </c>
      <c r="N15">
        <v>2.7795275590551182E-2</v>
      </c>
      <c r="O15">
        <v>3.7874015748031495E-2</v>
      </c>
      <c r="P15">
        <v>0.13330708661417323</v>
      </c>
      <c r="Q15">
        <v>6.1968503937007882E-2</v>
      </c>
      <c r="R15">
        <v>0.28031496062992134</v>
      </c>
      <c r="S15">
        <v>0.25291338582677164</v>
      </c>
      <c r="T15">
        <v>0.40543307086614183</v>
      </c>
      <c r="U15">
        <v>0.13700787401574804</v>
      </c>
      <c r="V15">
        <v>0.21629921259842519</v>
      </c>
      <c r="W15">
        <v>9.700787401574805E-2</v>
      </c>
      <c r="X15">
        <v>0.61503937007874021</v>
      </c>
      <c r="Y15">
        <v>1.1417322834645669E-2</v>
      </c>
      <c r="Z15">
        <v>0.68645669291338596</v>
      </c>
      <c r="AA15">
        <v>4.5669291338582677E-2</v>
      </c>
      <c r="AB15">
        <v>0.41551181102362217</v>
      </c>
      <c r="AC15">
        <v>2.3622047244094491E-2</v>
      </c>
      <c r="AD15">
        <v>0.18204724409448822</v>
      </c>
      <c r="AE15">
        <v>5.8267716535433068E-3</v>
      </c>
      <c r="AF15">
        <v>1.1102362204724409E-2</v>
      </c>
      <c r="AG15">
        <v>8.2677165354330725E-3</v>
      </c>
      <c r="AH15">
        <f>(((BZ15+1000)/(CD15+1000))-1)*1000</f>
        <v>1.56769125608891</v>
      </c>
      <c r="AI15" s="24">
        <f>AZ15-AN15</f>
        <v>-10.160257095453801</v>
      </c>
      <c r="AJ15" s="22">
        <v>-209.14595835381863</v>
      </c>
      <c r="AK15" s="22">
        <v>3.7884649869195939</v>
      </c>
      <c r="AL15" s="22">
        <v>-175.56300801420406</v>
      </c>
      <c r="AM15" s="22">
        <v>1.5756538298385487</v>
      </c>
      <c r="AN15" s="22">
        <v>-194.69467873006636</v>
      </c>
      <c r="AO15" s="22">
        <v>4.8990668605444085</v>
      </c>
      <c r="AP15" s="22">
        <v>-191.59877402249026</v>
      </c>
      <c r="AQ15" s="22">
        <v>3.0675448523565656</v>
      </c>
      <c r="AR15" s="22">
        <v>-203.98685092850818</v>
      </c>
      <c r="AS15" s="22">
        <v>0.14373427189148866</v>
      </c>
      <c r="AT15" s="22">
        <v>-209.81221477335961</v>
      </c>
      <c r="AU15" s="22">
        <v>1.6947871037668214</v>
      </c>
      <c r="AV15" s="22">
        <v>-209.26160382028309</v>
      </c>
      <c r="AW15" s="22">
        <v>3.4256933905294176</v>
      </c>
      <c r="AX15" s="22">
        <v>-207.1166429786486</v>
      </c>
      <c r="AY15" s="22">
        <v>3.0674852211651946</v>
      </c>
      <c r="AZ15" s="22">
        <v>-204.85493582552016</v>
      </c>
      <c r="BA15" s="22">
        <v>8.5776921482564605E-2</v>
      </c>
      <c r="BB15" s="22">
        <v>-189.46402778809829</v>
      </c>
      <c r="BC15" s="22">
        <v>0.90503237183933438</v>
      </c>
      <c r="BD15" s="23"/>
      <c r="BE15" s="23"/>
      <c r="BF15" s="22">
        <v>-33.295030512240196</v>
      </c>
      <c r="BG15" s="22">
        <v>0.51374637894581654</v>
      </c>
      <c r="BH15" s="22">
        <v>-32.887806778559678</v>
      </c>
      <c r="BI15" s="22">
        <v>0.49556759701013464</v>
      </c>
      <c r="BJ15" s="22">
        <v>-31.771838980726255</v>
      </c>
      <c r="BK15" s="22">
        <v>0.10426124945108567</v>
      </c>
      <c r="BL15" s="22">
        <v>-31.704814870412498</v>
      </c>
      <c r="BM15" s="22">
        <v>4.0994540457158057E-2</v>
      </c>
      <c r="BN15" s="22">
        <v>-33.172372903746989</v>
      </c>
      <c r="BO15" s="22">
        <v>0.28115875016371361</v>
      </c>
      <c r="BP15" s="22">
        <v>-32.593208240281179</v>
      </c>
      <c r="BQ15" s="22">
        <v>9.0818150864985847E-2</v>
      </c>
      <c r="BR15" s="22">
        <v>-32.494412687152277</v>
      </c>
      <c r="BS15" s="22">
        <v>0.18447292024117357</v>
      </c>
      <c r="BT15" s="22">
        <v>-34.090099431984051</v>
      </c>
      <c r="BU15" s="22">
        <v>5.5042628260494997E-2</v>
      </c>
      <c r="BV15" s="22">
        <v>-31.608384589859188</v>
      </c>
      <c r="BW15" s="22">
        <v>8.9787640644853617E-2</v>
      </c>
      <c r="BX15" s="22">
        <v>-33.254658186583164</v>
      </c>
      <c r="BY15" s="22">
        <v>8.8172804463898403E-3</v>
      </c>
      <c r="BZ15" s="22">
        <v>-33.154116283236995</v>
      </c>
      <c r="CA15" s="22">
        <v>0.18425855157014998</v>
      </c>
      <c r="CB15" s="22">
        <v>-36.731337530192889</v>
      </c>
      <c r="CC15" s="22">
        <v>0.22060687271318763</v>
      </c>
      <c r="CD15" s="22">
        <v>-34.667459665936903</v>
      </c>
      <c r="CE15" s="22">
        <v>9.1467533844830279E-2</v>
      </c>
    </row>
    <row r="16" spans="1:83" x14ac:dyDescent="0.3">
      <c r="A16">
        <v>198</v>
      </c>
      <c r="B16">
        <v>11630</v>
      </c>
      <c r="C16">
        <v>11262</v>
      </c>
      <c r="D16">
        <v>12071</v>
      </c>
      <c r="E16">
        <v>7.0792682926829276</v>
      </c>
      <c r="F16">
        <v>29.271297509829623</v>
      </c>
      <c r="G16">
        <v>0.32830188679245281</v>
      </c>
      <c r="H16">
        <f t="shared" si="0"/>
        <v>0.91759465478841873</v>
      </c>
      <c r="I16">
        <v>0.75874769797421737</v>
      </c>
      <c r="J16">
        <v>0.92915121152388314</v>
      </c>
      <c r="K16">
        <f t="shared" si="1"/>
        <v>14.625000000000002</v>
      </c>
      <c r="L16">
        <v>1.9565217391304349E-3</v>
      </c>
      <c r="M16">
        <v>0</v>
      </c>
      <c r="N16">
        <v>0</v>
      </c>
      <c r="O16">
        <v>2.1739130434782605E-3</v>
      </c>
      <c r="P16">
        <v>4.9999999999999992E-3</v>
      </c>
      <c r="Q16">
        <v>5.3623188405797096E-3</v>
      </c>
      <c r="R16">
        <v>1.5362318840579712E-2</v>
      </c>
      <c r="S16">
        <v>2.0362318840579711E-2</v>
      </c>
      <c r="T16">
        <v>1.8913043478260869E-2</v>
      </c>
      <c r="U16">
        <v>1.0144927536231883E-2</v>
      </c>
      <c r="V16">
        <v>1.2028985507246378E-2</v>
      </c>
      <c r="W16">
        <v>8.5507246376811587E-3</v>
      </c>
      <c r="X16">
        <v>3.2536231884057971E-2</v>
      </c>
      <c r="Y16">
        <v>9.4202898550724637E-4</v>
      </c>
      <c r="Z16">
        <v>3.9347826086956521E-2</v>
      </c>
      <c r="AA16">
        <v>4.1304347826086954E-3</v>
      </c>
      <c r="AB16">
        <v>2.9855072463768118E-2</v>
      </c>
      <c r="AC16">
        <v>0</v>
      </c>
      <c r="AD16">
        <v>8.8405797101449267E-3</v>
      </c>
      <c r="AE16">
        <v>0</v>
      </c>
      <c r="AF16">
        <v>0</v>
      </c>
      <c r="AG16">
        <v>0</v>
      </c>
      <c r="AH16">
        <f>(((BZ16+1000)/(CD16+1000))-1)*1000</f>
        <v>2.8642386091100036</v>
      </c>
      <c r="AI16" s="24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2">
        <v>-33.484353698616687</v>
      </c>
      <c r="BK16" s="22">
        <v>0.28649060128757381</v>
      </c>
      <c r="BL16" s="22">
        <v>-31.998706334905275</v>
      </c>
      <c r="BM16" s="22">
        <v>0.47440761813557875</v>
      </c>
      <c r="BN16" s="22">
        <v>-31.212168441662794</v>
      </c>
      <c r="BO16" s="22">
        <v>0.80170363318768278</v>
      </c>
      <c r="BP16" s="22">
        <v>-31.372487968470793</v>
      </c>
      <c r="BQ16" s="22">
        <v>1.6045266226763564</v>
      </c>
      <c r="BR16" s="22">
        <v>-32.044840126675865</v>
      </c>
      <c r="BS16" s="22">
        <v>0.38897443454871189</v>
      </c>
      <c r="BT16" s="22">
        <v>-30.704551233034291</v>
      </c>
      <c r="BU16" s="22">
        <v>5.7287663236273351E-2</v>
      </c>
      <c r="BV16" s="22">
        <v>-32.131117909359951</v>
      </c>
      <c r="BW16" s="22">
        <v>1.1413343210345939</v>
      </c>
      <c r="BX16" s="22">
        <v>-37.442042298333064</v>
      </c>
      <c r="BY16" s="22">
        <v>1.5937151812882684</v>
      </c>
      <c r="BZ16" s="22">
        <v>-36.103669581648504</v>
      </c>
      <c r="CA16" s="22">
        <v>0.10580375517826436</v>
      </c>
      <c r="CB16" s="23"/>
      <c r="CC16" s="23"/>
      <c r="CD16" s="22">
        <v>-38.856613577929437</v>
      </c>
      <c r="CE16" s="22">
        <v>1.4658154441462214E-2</v>
      </c>
    </row>
    <row r="17" spans="1:83" x14ac:dyDescent="0.3">
      <c r="A17">
        <v>197</v>
      </c>
      <c r="B17">
        <v>11468</v>
      </c>
      <c r="C17">
        <v>11083</v>
      </c>
      <c r="D17">
        <v>11963</v>
      </c>
      <c r="E17">
        <v>4.6147300248029701</v>
      </c>
      <c r="F17">
        <v>28.838657586182684</v>
      </c>
      <c r="G17">
        <v>0.27337138358590829</v>
      </c>
      <c r="H17">
        <f t="shared" si="0"/>
        <v>0.68056908984603393</v>
      </c>
      <c r="I17">
        <v>0.64428044280442809</v>
      </c>
      <c r="J17">
        <v>0.95924060175556336</v>
      </c>
      <c r="K17">
        <f t="shared" si="1"/>
        <v>34.419117647058833</v>
      </c>
      <c r="L17">
        <v>3.3783783783783786E-3</v>
      </c>
      <c r="M17">
        <v>8.0330330330330331E-3</v>
      </c>
      <c r="N17">
        <v>1.1786786786786789E-2</v>
      </c>
      <c r="O17">
        <v>1.3738738738738741E-2</v>
      </c>
      <c r="P17">
        <v>4.6096096096096092E-2</v>
      </c>
      <c r="Q17">
        <v>4.6396396396396394E-2</v>
      </c>
      <c r="R17">
        <v>0.14399399399399401</v>
      </c>
      <c r="S17">
        <v>0.17447447447447445</v>
      </c>
      <c r="T17">
        <v>0.20855855855855859</v>
      </c>
      <c r="U17">
        <v>0.15983483483483482</v>
      </c>
      <c r="V17">
        <v>0.26126126126126126</v>
      </c>
      <c r="W17">
        <v>0.23040540540540544</v>
      </c>
      <c r="X17">
        <v>0.77042042042042047</v>
      </c>
      <c r="Y17">
        <v>2.5900900900900903E-2</v>
      </c>
      <c r="Z17">
        <v>0.8138138138138139</v>
      </c>
      <c r="AA17">
        <v>0.12530030030030032</v>
      </c>
      <c r="AB17">
        <v>0.52432432432432441</v>
      </c>
      <c r="AC17">
        <v>5.6981981981981983E-2</v>
      </c>
      <c r="AD17">
        <v>1.6516516516516519E-2</v>
      </c>
      <c r="AE17">
        <v>1.666666666666667E-2</v>
      </c>
      <c r="AF17">
        <v>1.3513513513513514E-2</v>
      </c>
      <c r="AG17">
        <v>0</v>
      </c>
      <c r="AH17">
        <f>(((BZ17+1000)/(CD17+1000))-1)*1000</f>
        <v>1.4335157954645794</v>
      </c>
      <c r="AI17" s="24">
        <f>AZ17-AN17</f>
        <v>-18.902375118167839</v>
      </c>
      <c r="AJ17" s="22">
        <v>-198.05862160812217</v>
      </c>
      <c r="AK17" s="22">
        <v>2.8612908407884623</v>
      </c>
      <c r="AL17" s="22">
        <v>-195.8753639314136</v>
      </c>
      <c r="AM17" s="22">
        <v>4.9561049742052372</v>
      </c>
      <c r="AN17" s="22">
        <v>-185.94935440652543</v>
      </c>
      <c r="AO17" s="22">
        <v>0.97018330324816127</v>
      </c>
      <c r="AP17" s="22">
        <v>-186.15416151496743</v>
      </c>
      <c r="AQ17" s="22">
        <v>4.8025193423046719</v>
      </c>
      <c r="AR17" s="22">
        <v>-207.01568093094608</v>
      </c>
      <c r="AS17" s="22">
        <v>2.4162269768280589</v>
      </c>
      <c r="AT17" s="22">
        <v>-210.853227038792</v>
      </c>
      <c r="AU17" s="22">
        <v>2.1294908889417652</v>
      </c>
      <c r="AV17" s="22">
        <v>-205.91704545055177</v>
      </c>
      <c r="AW17" s="22">
        <v>1.1026282622999797</v>
      </c>
      <c r="AX17" s="22">
        <v>-204.76486936161353</v>
      </c>
      <c r="AY17" s="22">
        <v>0.19524814942577465</v>
      </c>
      <c r="AZ17" s="22">
        <v>-204.85172952469327</v>
      </c>
      <c r="BA17" s="22">
        <v>0.27427411273673868</v>
      </c>
      <c r="BB17" s="23"/>
      <c r="BC17" s="23"/>
      <c r="BD17" s="23"/>
      <c r="BE17" s="23"/>
      <c r="BF17" s="22">
        <v>-33.927605230952231</v>
      </c>
      <c r="BG17" s="22">
        <v>4.9704261335761835E-2</v>
      </c>
      <c r="BH17" s="22">
        <v>-33.885161338013873</v>
      </c>
      <c r="BI17" s="22">
        <v>0.44662946679795357</v>
      </c>
      <c r="BJ17" s="22">
        <v>-32.778436953664666</v>
      </c>
      <c r="BK17" s="22">
        <v>0.65755090779189618</v>
      </c>
      <c r="BL17" s="22">
        <v>-31.591578517685669</v>
      </c>
      <c r="BM17" s="22">
        <v>0.18757713567793852</v>
      </c>
      <c r="BN17" s="22">
        <v>-32.2909392597928</v>
      </c>
      <c r="BO17" s="22">
        <v>0.23608921793940546</v>
      </c>
      <c r="BP17" s="22">
        <v>-32.205514339145296</v>
      </c>
      <c r="BQ17" s="22">
        <v>6.3707665427301038E-2</v>
      </c>
      <c r="BR17" s="22">
        <v>-31.943738556246927</v>
      </c>
      <c r="BS17" s="22">
        <v>4.1894457274961959E-2</v>
      </c>
      <c r="BT17" s="22">
        <v>-31.881232048210443</v>
      </c>
      <c r="BU17" s="22">
        <v>6.254244381144046E-2</v>
      </c>
      <c r="BV17" s="22">
        <v>-31.654380456120577</v>
      </c>
      <c r="BW17" s="22">
        <v>2.0575086418847034E-3</v>
      </c>
      <c r="BX17" s="22">
        <v>-32.335023930458206</v>
      </c>
      <c r="BY17" s="22">
        <v>0.10769521503335305</v>
      </c>
      <c r="BZ17" s="22">
        <v>-32.590461824164166</v>
      </c>
      <c r="CA17" s="22">
        <v>8.5535569427870661E-2</v>
      </c>
      <c r="CB17" s="22">
        <v>-33.198652107756025</v>
      </c>
      <c r="CC17" s="22">
        <v>0.26071935024557935</v>
      </c>
      <c r="CD17" s="22">
        <v>-33.975273528370693</v>
      </c>
      <c r="CE17" s="22">
        <v>2.6264127439352802E-2</v>
      </c>
    </row>
    <row r="18" spans="1:83" x14ac:dyDescent="0.3">
      <c r="A18">
        <v>196</v>
      </c>
      <c r="B18">
        <v>11400</v>
      </c>
      <c r="C18">
        <v>11045</v>
      </c>
      <c r="D18">
        <v>11840</v>
      </c>
      <c r="AI18" s="24"/>
    </row>
    <row r="19" spans="1:83" x14ac:dyDescent="0.3">
      <c r="A19">
        <v>195</v>
      </c>
      <c r="B19">
        <v>11332</v>
      </c>
      <c r="C19">
        <v>10987</v>
      </c>
      <c r="D19">
        <v>11740</v>
      </c>
      <c r="E19">
        <v>7.0807704874360526</v>
      </c>
      <c r="F19">
        <v>28.990471528797521</v>
      </c>
      <c r="G19">
        <v>0.2407423696015481</v>
      </c>
      <c r="H19">
        <f t="shared" si="0"/>
        <v>0.62851573377889147</v>
      </c>
      <c r="I19">
        <v>0.60240213523131658</v>
      </c>
      <c r="J19">
        <v>0.95360528912223064</v>
      </c>
      <c r="K19">
        <f t="shared" si="1"/>
        <v>29.23717623158964</v>
      </c>
      <c r="L19">
        <v>2.0725388601036268E-3</v>
      </c>
      <c r="M19">
        <v>7.8367875647668388E-3</v>
      </c>
      <c r="N19">
        <v>2.19559585492228E-2</v>
      </c>
      <c r="O19">
        <v>2.7007772020725393E-2</v>
      </c>
      <c r="P19">
        <v>0.10349740932642489</v>
      </c>
      <c r="Q19">
        <v>8.2059585492227985E-2</v>
      </c>
      <c r="R19">
        <v>0.25939119170984454</v>
      </c>
      <c r="S19">
        <v>0.290479274611399</v>
      </c>
      <c r="T19">
        <v>0.35453367875647673</v>
      </c>
      <c r="U19">
        <v>0.22383419689119174</v>
      </c>
      <c r="V19">
        <v>0.45161917098445603</v>
      </c>
      <c r="W19">
        <v>0.29488341968911919</v>
      </c>
      <c r="X19">
        <v>1.3954663212435237</v>
      </c>
      <c r="Y19">
        <v>3.4326424870466325E-2</v>
      </c>
      <c r="Z19">
        <v>1.4559585492227982</v>
      </c>
      <c r="AA19">
        <v>0.13173575129533679</v>
      </c>
      <c r="AB19">
        <v>0.87707253886010361</v>
      </c>
      <c r="AC19">
        <v>5.9520725388601044E-2</v>
      </c>
      <c r="AD19">
        <v>0.22370466321243526</v>
      </c>
      <c r="AE19">
        <v>1.3665803108808289E-2</v>
      </c>
      <c r="AF19">
        <v>1.7357512953367876E-2</v>
      </c>
      <c r="AG19">
        <v>0</v>
      </c>
      <c r="AH19">
        <f t="shared" ref="AH19:AH24" si="3">(((BZ19+1000)/(CD19+1000))-1)*1000</f>
        <v>1.6575678998842491</v>
      </c>
      <c r="AI19" s="24">
        <f>AZ19-AN19</f>
        <v>-11.083430971114524</v>
      </c>
      <c r="AJ19" s="22">
        <v>-204.60068394291716</v>
      </c>
      <c r="AK19" s="22">
        <v>0.89437201700711144</v>
      </c>
      <c r="AL19" s="22">
        <v>-184.63515762926716</v>
      </c>
      <c r="AM19" s="22">
        <v>3.7574168428880648</v>
      </c>
      <c r="AN19" s="22">
        <v>-198.12773655640797</v>
      </c>
      <c r="AO19" s="22">
        <v>3.091548565980597</v>
      </c>
      <c r="AP19" s="22">
        <v>-199.91225374861745</v>
      </c>
      <c r="AQ19" s="22">
        <v>1.6279668434132604</v>
      </c>
      <c r="AR19" s="22">
        <v>-209.77288261889066</v>
      </c>
      <c r="AS19" s="22">
        <v>1.9568515443407652</v>
      </c>
      <c r="AT19" s="22">
        <v>-222.92345727743171</v>
      </c>
      <c r="AU19" s="22">
        <v>2.9639773128453286</v>
      </c>
      <c r="AV19" s="22">
        <v>-208.15773563954531</v>
      </c>
      <c r="AW19" s="22">
        <v>0.18371425211749862</v>
      </c>
      <c r="AX19" s="22">
        <v>-223.45740592249683</v>
      </c>
      <c r="AY19" s="22">
        <v>0.36202265655739563</v>
      </c>
      <c r="AZ19" s="22">
        <v>-209.21116752752249</v>
      </c>
      <c r="BA19" s="22">
        <v>0.83540259693350971</v>
      </c>
      <c r="BB19" s="22">
        <v>-208.35342180596723</v>
      </c>
      <c r="BC19" s="22">
        <v>0.60462575327893808</v>
      </c>
      <c r="BD19" s="22">
        <v>-195.96281342256094</v>
      </c>
      <c r="BE19" s="22">
        <v>0.67394525359791779</v>
      </c>
      <c r="BF19" s="22">
        <v>-31.910581804794955</v>
      </c>
      <c r="BG19" s="22">
        <v>0.99125042283663545</v>
      </c>
      <c r="BH19" s="22">
        <v>-35.769271405996669</v>
      </c>
      <c r="BI19" s="22">
        <v>0.91480078388162511</v>
      </c>
      <c r="BJ19" s="22">
        <v>-32.323876339139872</v>
      </c>
      <c r="BK19" s="22">
        <v>5.0781098555160331E-2</v>
      </c>
      <c r="BL19" s="22">
        <v>-31.516996793847113</v>
      </c>
      <c r="BM19" s="22">
        <v>2.3698262213671061E-2</v>
      </c>
      <c r="BN19" s="22">
        <v>-32.301043413217684</v>
      </c>
      <c r="BO19" s="22">
        <v>0.24019162669202629</v>
      </c>
      <c r="BP19" s="22">
        <v>-32.40596840160481</v>
      </c>
      <c r="BQ19" s="22">
        <v>9.3531188010613445E-3</v>
      </c>
      <c r="BR19" s="22">
        <v>-32.388437272475294</v>
      </c>
      <c r="BS19" s="22">
        <v>7.7585602913064836E-2</v>
      </c>
      <c r="BT19" s="22">
        <v>-32.691137182928024</v>
      </c>
      <c r="BU19" s="22">
        <v>0.19932759114434126</v>
      </c>
      <c r="BV19" s="22">
        <v>-32.005900691402751</v>
      </c>
      <c r="BW19" s="22">
        <v>0.15554788738552178</v>
      </c>
      <c r="BX19" s="22">
        <v>-33.602708200889438</v>
      </c>
      <c r="BY19" s="22">
        <v>0.25320226954327041</v>
      </c>
      <c r="BZ19" s="22">
        <v>-32.894704613757881</v>
      </c>
      <c r="CA19" s="22">
        <v>0.14153127883440961</v>
      </c>
      <c r="CB19" s="22">
        <v>-34.907915832957357</v>
      </c>
      <c r="CC19" s="22">
        <v>0.18366153766199242</v>
      </c>
      <c r="CD19" s="22">
        <v>-34.495094552208933</v>
      </c>
      <c r="CE19" s="22">
        <v>0.30591790331284796</v>
      </c>
    </row>
    <row r="20" spans="1:83" x14ac:dyDescent="0.3">
      <c r="A20">
        <v>193</v>
      </c>
      <c r="B20">
        <v>11196</v>
      </c>
      <c r="C20">
        <v>10825</v>
      </c>
      <c r="D20">
        <v>11632</v>
      </c>
      <c r="E20">
        <v>3.7402847371351307</v>
      </c>
      <c r="F20">
        <v>29.31265334735366</v>
      </c>
      <c r="G20">
        <v>0.19429024583663757</v>
      </c>
      <c r="H20">
        <f t="shared" si="0"/>
        <v>0.91777509068923824</v>
      </c>
      <c r="I20">
        <v>0.75148514851485149</v>
      </c>
      <c r="J20">
        <v>0.93708633262473617</v>
      </c>
      <c r="K20">
        <f t="shared" si="1"/>
        <v>5.794642857142855</v>
      </c>
      <c r="L20">
        <v>2.2849462365591398E-3</v>
      </c>
      <c r="M20">
        <v>0</v>
      </c>
      <c r="N20">
        <v>7.1236559139784949E-3</v>
      </c>
      <c r="O20">
        <v>1.65994623655914E-2</v>
      </c>
      <c r="P20">
        <v>2.0698924731182799E-2</v>
      </c>
      <c r="Q20">
        <v>2.0497311827956988E-2</v>
      </c>
      <c r="R20">
        <v>1.5860215053763439E-2</v>
      </c>
      <c r="S20">
        <v>1.4650537634408604E-2</v>
      </c>
      <c r="T20">
        <v>1.6465053763440859E-2</v>
      </c>
      <c r="U20">
        <v>1.5322580645161288E-2</v>
      </c>
      <c r="V20">
        <v>2.4731182795698928E-2</v>
      </c>
      <c r="W20">
        <v>2.5268817204301075E-2</v>
      </c>
      <c r="X20">
        <v>5.5577956989247307E-2</v>
      </c>
      <c r="Y20">
        <v>2.6881720430107529E-3</v>
      </c>
      <c r="Z20">
        <v>6.7876344086021501E-2</v>
      </c>
      <c r="AA20">
        <v>1.4852150537634407E-2</v>
      </c>
      <c r="AB20">
        <v>5.1008064516129027E-2</v>
      </c>
      <c r="AC20">
        <v>8.4005376344086016E-3</v>
      </c>
      <c r="AD20">
        <v>1.7271505376344084E-2</v>
      </c>
      <c r="AE20">
        <v>0</v>
      </c>
      <c r="AF20">
        <v>0</v>
      </c>
      <c r="AG20">
        <v>0</v>
      </c>
      <c r="AH20">
        <f t="shared" si="3"/>
        <v>2.2681416079159966</v>
      </c>
      <c r="AI20" s="24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2">
        <v>-26.261892893316947</v>
      </c>
      <c r="BG20" s="22">
        <v>0.36067419274422108</v>
      </c>
      <c r="BH20" s="22">
        <v>-26.593790838586077</v>
      </c>
      <c r="BI20" s="22">
        <v>1.4038563651033118E-2</v>
      </c>
      <c r="BJ20" s="22">
        <v>-29.124229901711587</v>
      </c>
      <c r="BK20" s="22">
        <v>0.71343628944811976</v>
      </c>
      <c r="BL20" s="22">
        <v>-28.917842389034043</v>
      </c>
      <c r="BM20" s="22">
        <v>0.86815830788899817</v>
      </c>
      <c r="BN20" s="22">
        <v>-30.045007169994939</v>
      </c>
      <c r="BO20" s="22">
        <v>0.13638337983163742</v>
      </c>
      <c r="BP20" s="22">
        <v>-31.450794339489605</v>
      </c>
      <c r="BQ20" s="22">
        <v>0.27728510449672156</v>
      </c>
      <c r="BR20" s="22">
        <v>-31.396455872043628</v>
      </c>
      <c r="BS20" s="22">
        <v>0.30285141994894105</v>
      </c>
      <c r="BT20" s="22">
        <v>-30.751909142069117</v>
      </c>
      <c r="BU20" s="22">
        <v>0.66784989666356831</v>
      </c>
      <c r="BV20" s="22">
        <v>-31.02919366994654</v>
      </c>
      <c r="BW20" s="22">
        <v>0.10330176239203587</v>
      </c>
      <c r="BX20" s="22">
        <v>-30.993939226261364</v>
      </c>
      <c r="BY20" s="22">
        <v>1.5182045247941813</v>
      </c>
      <c r="BZ20" s="22">
        <v>-32.607939767123199</v>
      </c>
      <c r="CA20" s="22">
        <v>0.22912933743670247</v>
      </c>
      <c r="CB20" s="22">
        <v>-34.298823125347774</v>
      </c>
      <c r="CC20" s="22">
        <v>0.58332226554778455</v>
      </c>
      <c r="CD20" s="22">
        <v>-34.79715649655229</v>
      </c>
      <c r="CE20" s="22">
        <v>0.83431273550178309</v>
      </c>
    </row>
    <row r="21" spans="1:83" x14ac:dyDescent="0.3">
      <c r="A21">
        <v>192</v>
      </c>
      <c r="B21">
        <v>11127</v>
      </c>
      <c r="C21">
        <v>10697</v>
      </c>
      <c r="D21">
        <v>11600</v>
      </c>
      <c r="E21">
        <v>7.1046634271948044</v>
      </c>
      <c r="F21">
        <v>29.095190053707601</v>
      </c>
      <c r="G21">
        <v>0.2882342564826248</v>
      </c>
      <c r="H21">
        <f t="shared" si="0"/>
        <v>0.66960078243087051</v>
      </c>
      <c r="I21">
        <v>0.60898394857073546</v>
      </c>
      <c r="J21">
        <v>0.95627910818871464</v>
      </c>
      <c r="K21">
        <f t="shared" si="1"/>
        <v>23.138558692421991</v>
      </c>
      <c r="L21">
        <v>2.7285129604365625E-3</v>
      </c>
      <c r="M21">
        <v>1.4597544338335608E-2</v>
      </c>
      <c r="N21">
        <v>3.3083219645293316E-2</v>
      </c>
      <c r="O21">
        <v>4.0586630286493869E-2</v>
      </c>
      <c r="P21">
        <v>0.14781718963165077</v>
      </c>
      <c r="Q21">
        <v>8.6562073669849943E-2</v>
      </c>
      <c r="R21">
        <v>0.31418826739427019</v>
      </c>
      <c r="S21">
        <v>0.4319236016371078</v>
      </c>
      <c r="T21">
        <v>0.55729877216916779</v>
      </c>
      <c r="U21">
        <v>0.31391541609822649</v>
      </c>
      <c r="V21">
        <v>0.51214188267394267</v>
      </c>
      <c r="W21">
        <v>0.31487039563437924</v>
      </c>
      <c r="X21">
        <v>1.5343792633015008</v>
      </c>
      <c r="Y21">
        <v>3.6562073669849933E-2</v>
      </c>
      <c r="Z21">
        <v>1.6871077762619375</v>
      </c>
      <c r="AA21">
        <v>0.14904502046384721</v>
      </c>
      <c r="AB21">
        <v>1.0274215552523875</v>
      </c>
      <c r="AC21">
        <v>7.52387448840382E-2</v>
      </c>
      <c r="AD21">
        <v>0.32053206002728518</v>
      </c>
      <c r="AE21">
        <v>2.2305593451568895E-2</v>
      </c>
      <c r="AF21">
        <v>2.8240109140518416E-2</v>
      </c>
      <c r="AG21">
        <v>3.956343792633015E-3</v>
      </c>
      <c r="AH21">
        <f t="shared" si="3"/>
        <v>1.5671213531556205</v>
      </c>
      <c r="AI21" s="24">
        <f>AZ21-AN21</f>
        <v>-15.531056044572722</v>
      </c>
      <c r="AJ21" s="22">
        <v>-202.24723756927904</v>
      </c>
      <c r="AK21" s="22">
        <v>0.3125005721005053</v>
      </c>
      <c r="AL21" s="22">
        <v>-188.46032160380389</v>
      </c>
      <c r="AM21" s="22">
        <v>3.1275588048710583</v>
      </c>
      <c r="AN21" s="22">
        <v>-193.43117271515001</v>
      </c>
      <c r="AO21" s="22">
        <v>0.19505743376214521</v>
      </c>
      <c r="AP21" s="22">
        <v>-195.22451895893079</v>
      </c>
      <c r="AQ21" s="22">
        <v>2.9657397499813443</v>
      </c>
      <c r="AR21" s="22">
        <v>-216.90654600070417</v>
      </c>
      <c r="AS21" s="22">
        <v>1.3082586555554705</v>
      </c>
      <c r="AT21" s="23"/>
      <c r="AU21" s="23"/>
      <c r="AV21" s="22">
        <v>-204.54965750494827</v>
      </c>
      <c r="AW21" s="22">
        <v>4.250985202493573</v>
      </c>
      <c r="AX21" s="22">
        <v>-220.74922977810746</v>
      </c>
      <c r="AY21" s="22">
        <v>4.1435198935055695</v>
      </c>
      <c r="AZ21" s="22">
        <v>-208.96222875972273</v>
      </c>
      <c r="BA21" s="22">
        <v>1.5384914309047044</v>
      </c>
      <c r="BB21" s="22">
        <v>-207.01807844496926</v>
      </c>
      <c r="BC21" s="22">
        <v>3.5126463573303002</v>
      </c>
      <c r="BD21" s="22">
        <v>-196.1145751959109</v>
      </c>
      <c r="BE21" s="22">
        <v>4.0603265464937</v>
      </c>
      <c r="BF21" s="22">
        <v>-33.364149837477498</v>
      </c>
      <c r="BG21" s="22">
        <v>0.6049975647189475</v>
      </c>
      <c r="BH21" s="22">
        <v>-33.592047783198936</v>
      </c>
      <c r="BI21" s="22">
        <v>9.1619920676118641E-2</v>
      </c>
      <c r="BJ21" s="22">
        <v>-32.071060755952907</v>
      </c>
      <c r="BK21" s="22">
        <v>0.11442939277071267</v>
      </c>
      <c r="BL21" s="22">
        <v>-31.386209605100156</v>
      </c>
      <c r="BM21" s="22">
        <v>4.4798444855800854E-2</v>
      </c>
      <c r="BN21" s="22">
        <v>-32.06181567757006</v>
      </c>
      <c r="BO21" s="22">
        <v>9.1204898446619317E-2</v>
      </c>
      <c r="BP21" s="22">
        <v>-32.304328787555434</v>
      </c>
      <c r="BQ21" s="22">
        <v>3.6989380086859501E-2</v>
      </c>
      <c r="BR21" s="22">
        <v>-32.491043095722205</v>
      </c>
      <c r="BS21" s="22">
        <v>0.13581204941220923</v>
      </c>
      <c r="BT21" s="22">
        <v>-33.05928531589673</v>
      </c>
      <c r="BU21" s="22">
        <v>0.56790935579606594</v>
      </c>
      <c r="BV21" s="22">
        <v>-32.017638842782894</v>
      </c>
      <c r="BW21" s="22">
        <v>7.0914844447890812E-2</v>
      </c>
      <c r="BX21" s="22">
        <v>-34.092593765276305</v>
      </c>
      <c r="BY21" s="22">
        <v>4.1759851536980246E-2</v>
      </c>
      <c r="BZ21" s="22">
        <v>-33.090553223822674</v>
      </c>
      <c r="CA21" s="22">
        <v>7.7240191939823413E-2</v>
      </c>
      <c r="CB21" s="22">
        <v>-35.971045930566049</v>
      </c>
      <c r="CC21" s="22">
        <v>0.31754799188528265</v>
      </c>
      <c r="CD21" s="22">
        <v>-34.603446776641803</v>
      </c>
      <c r="CE21" s="22">
        <v>0.1236220767430613</v>
      </c>
    </row>
    <row r="22" spans="1:83" x14ac:dyDescent="0.3">
      <c r="A22">
        <v>191</v>
      </c>
      <c r="B22">
        <v>11068</v>
      </c>
      <c r="C22">
        <v>10671</v>
      </c>
      <c r="D22">
        <v>11512</v>
      </c>
      <c r="E22">
        <v>7.6017901797083676</v>
      </c>
      <c r="F22">
        <v>28.935686166803997</v>
      </c>
      <c r="G22">
        <v>0.25989437308469709</v>
      </c>
      <c r="H22">
        <f t="shared" si="0"/>
        <v>0.52807863269266897</v>
      </c>
      <c r="I22">
        <v>0.51533479960899309</v>
      </c>
      <c r="J22">
        <v>0.94802405516741506</v>
      </c>
      <c r="K22">
        <f t="shared" si="1"/>
        <v>22.294149808638601</v>
      </c>
      <c r="L22">
        <v>2.6530612244897965E-3</v>
      </c>
      <c r="M22">
        <v>7.6870748299319724E-3</v>
      </c>
      <c r="N22">
        <v>2.3333333333333338E-2</v>
      </c>
      <c r="O22">
        <v>3.1360544217687081E-2</v>
      </c>
      <c r="P22">
        <v>9.8435374149659874E-2</v>
      </c>
      <c r="Q22">
        <v>4.7891156462585044E-2</v>
      </c>
      <c r="R22">
        <v>0.13959183673469389</v>
      </c>
      <c r="S22">
        <v>0.17081632653061227</v>
      </c>
      <c r="T22">
        <v>0.27115646258503406</v>
      </c>
      <c r="U22">
        <v>0.16571428571428573</v>
      </c>
      <c r="V22">
        <v>0.33108843537414973</v>
      </c>
      <c r="W22">
        <v>0.20027210884353744</v>
      </c>
      <c r="X22">
        <v>1.0865986394557823</v>
      </c>
      <c r="Y22">
        <v>2.2244897959183677E-2</v>
      </c>
      <c r="Z22">
        <v>1.1134693877551023</v>
      </c>
      <c r="AA22">
        <v>8.2585034013605466E-2</v>
      </c>
      <c r="AB22">
        <v>0.57380952380952388</v>
      </c>
      <c r="AC22">
        <v>4.6258503401360548E-2</v>
      </c>
      <c r="AD22">
        <v>0.17789115646258505</v>
      </c>
      <c r="AE22">
        <v>1.938775510204082E-2</v>
      </c>
      <c r="AF22">
        <v>2.0476190476190478E-2</v>
      </c>
      <c r="AG22">
        <v>0</v>
      </c>
      <c r="AH22">
        <f t="shared" si="3"/>
        <v>1.8645801000964912</v>
      </c>
      <c r="AI22" s="24">
        <f>AZ22-AN22</f>
        <v>-47.271411700511834</v>
      </c>
      <c r="AJ22" s="23"/>
      <c r="AK22" s="23"/>
      <c r="AL22" s="22">
        <v>-162.78289430790838</v>
      </c>
      <c r="AM22" s="22">
        <v>3.1342425348814218</v>
      </c>
      <c r="AN22" s="22">
        <v>-159.52663667421371</v>
      </c>
      <c r="AO22" s="22">
        <v>3.0729742180028681</v>
      </c>
      <c r="AP22" s="22">
        <v>-184.36700584500818</v>
      </c>
      <c r="AQ22" s="22">
        <v>0.85626757497727868</v>
      </c>
      <c r="AR22" s="22">
        <v>-212.36443170679613</v>
      </c>
      <c r="AS22" s="22">
        <v>4.140713070052791</v>
      </c>
      <c r="AT22" s="22">
        <v>-210.69963977100301</v>
      </c>
      <c r="AU22" s="22">
        <v>2.1455413702072832</v>
      </c>
      <c r="AV22" s="22">
        <v>-211.08071927714215</v>
      </c>
      <c r="AW22" s="22">
        <v>3.8210430628511505</v>
      </c>
      <c r="AX22" s="22">
        <v>-217.70804792712642</v>
      </c>
      <c r="AY22" s="22">
        <v>2.8586889189578959</v>
      </c>
      <c r="AZ22" s="22">
        <v>-206.79804837472554</v>
      </c>
      <c r="BA22" s="22">
        <v>0.78729519684657223</v>
      </c>
      <c r="BB22" s="22">
        <v>-210.88411389587469</v>
      </c>
      <c r="BC22" s="22">
        <v>4.5607368683352343</v>
      </c>
      <c r="BD22" s="22">
        <v>-200.94879472354074</v>
      </c>
      <c r="BE22" s="22">
        <v>1.580022999788891</v>
      </c>
      <c r="BF22" s="22">
        <v>-29.674679888761702</v>
      </c>
      <c r="BG22" s="22">
        <v>9.3874041310763545E-2</v>
      </c>
      <c r="BH22" s="22">
        <v>-32.219673019953895</v>
      </c>
      <c r="BI22" s="22">
        <v>0.97659695596471907</v>
      </c>
      <c r="BJ22" s="22">
        <v>-32.11477572990924</v>
      </c>
      <c r="BK22" s="22">
        <v>2.4434814824432285E-2</v>
      </c>
      <c r="BL22" s="22">
        <v>-31.44344949383758</v>
      </c>
      <c r="BM22" s="22">
        <v>0.52391793889320892</v>
      </c>
      <c r="BN22" s="22">
        <v>-32.169826266501168</v>
      </c>
      <c r="BO22" s="22">
        <v>4.3219868595253591E-2</v>
      </c>
      <c r="BP22" s="22">
        <v>-31.537993173820443</v>
      </c>
      <c r="BQ22" s="22">
        <v>0.15900318684111447</v>
      </c>
      <c r="BR22" s="22">
        <v>-32.220395498526429</v>
      </c>
      <c r="BS22" s="22">
        <v>0.11395234385861251</v>
      </c>
      <c r="BT22" s="22">
        <v>-33.307087288055442</v>
      </c>
      <c r="BU22" s="22">
        <v>0.17481867881827121</v>
      </c>
      <c r="BV22" s="22">
        <v>-31.712834819988238</v>
      </c>
      <c r="BW22" s="22">
        <v>3.0405187387855404E-3</v>
      </c>
      <c r="BX22" s="22">
        <v>-33.673328673144134</v>
      </c>
      <c r="BY22" s="22">
        <v>0.14851730131738358</v>
      </c>
      <c r="BZ22" s="22">
        <v>-32.831529593890778</v>
      </c>
      <c r="CA22" s="22">
        <v>3.1178352726416895E-2</v>
      </c>
      <c r="CB22" s="22">
        <v>-36.095063897289094</v>
      </c>
      <c r="CC22" s="22">
        <v>0.36813773997305316</v>
      </c>
      <c r="CD22" s="22">
        <v>-34.631536420342137</v>
      </c>
      <c r="CE22" s="22">
        <v>7.220637088082521E-2</v>
      </c>
    </row>
    <row r="23" spans="1:83" x14ac:dyDescent="0.3">
      <c r="A23">
        <v>189</v>
      </c>
      <c r="B23">
        <v>10948</v>
      </c>
      <c r="C23">
        <v>10609</v>
      </c>
      <c r="D23">
        <v>11393</v>
      </c>
      <c r="E23">
        <v>8.1238349518963382</v>
      </c>
      <c r="F23">
        <v>28.927816075360013</v>
      </c>
      <c r="G23">
        <v>0.33694636516538967</v>
      </c>
      <c r="H23">
        <f t="shared" si="0"/>
        <v>0.52624776297474651</v>
      </c>
      <c r="I23">
        <v>0.50156353643513685</v>
      </c>
      <c r="J23">
        <v>0.95024470898779367</v>
      </c>
      <c r="K23">
        <f t="shared" si="1"/>
        <v>15.931119311193115</v>
      </c>
      <c r="L23">
        <v>3.2595325953259533E-3</v>
      </c>
      <c r="M23">
        <v>6.3960639606396065E-3</v>
      </c>
      <c r="N23">
        <v>2.023370233702337E-2</v>
      </c>
      <c r="O23">
        <v>2.2017220172201722E-2</v>
      </c>
      <c r="P23">
        <v>7.6506765067650667E-2</v>
      </c>
      <c r="Q23">
        <v>4.6924969249692493E-2</v>
      </c>
      <c r="R23">
        <v>0.15350553505535056</v>
      </c>
      <c r="S23">
        <v>0.18708487084870848</v>
      </c>
      <c r="T23">
        <v>0.22177121771217712</v>
      </c>
      <c r="U23">
        <v>0.11113161131611315</v>
      </c>
      <c r="V23">
        <v>0.17964329643296434</v>
      </c>
      <c r="W23">
        <v>0.10319803198031981</v>
      </c>
      <c r="X23">
        <v>0.61857318573185727</v>
      </c>
      <c r="Y23">
        <v>1.2177121771217712E-2</v>
      </c>
      <c r="Z23">
        <v>0.64901599015990163</v>
      </c>
      <c r="AA23">
        <v>4.4649446494464937E-2</v>
      </c>
      <c r="AB23">
        <v>0.32552275522755225</v>
      </c>
      <c r="AC23">
        <v>2.4600246002460024E-2</v>
      </c>
      <c r="AD23">
        <v>0.10110701107011071</v>
      </c>
      <c r="AE23">
        <v>4.4280442804428034E-3</v>
      </c>
      <c r="AF23">
        <v>9.7785977859778609E-3</v>
      </c>
      <c r="AG23">
        <v>0</v>
      </c>
      <c r="AH23">
        <f t="shared" si="3"/>
        <v>1.7366165594885352</v>
      </c>
      <c r="AI23" s="24">
        <f>AZ23-AN23</f>
        <v>-30.558495338234891</v>
      </c>
      <c r="AJ23" s="22">
        <v>-100.61324788191411</v>
      </c>
      <c r="AK23" s="22">
        <v>1.6808690801802904</v>
      </c>
      <c r="AL23" s="22">
        <v>-105.36567468912804</v>
      </c>
      <c r="AM23" s="22">
        <v>3.0974724269102563</v>
      </c>
      <c r="AN23" s="22">
        <v>-103.78883607678235</v>
      </c>
      <c r="AO23" s="22">
        <v>1.5797675260971482</v>
      </c>
      <c r="AP23" s="22">
        <v>-96.572930111147912</v>
      </c>
      <c r="AQ23" s="22">
        <v>1.2736803824015246</v>
      </c>
      <c r="AR23" s="22">
        <v>-182.41618006924165</v>
      </c>
      <c r="AS23" s="22">
        <v>1.4547806919171895</v>
      </c>
      <c r="AT23" s="22">
        <v>-189.79488022705675</v>
      </c>
      <c r="AU23" s="22">
        <v>1.0358468693208749</v>
      </c>
      <c r="AV23" s="22">
        <v>-160.58344548125331</v>
      </c>
      <c r="AW23" s="22">
        <v>0.35809854788464679</v>
      </c>
      <c r="AX23" s="22">
        <v>-138.54705728697942</v>
      </c>
      <c r="AY23" s="22">
        <v>4.660855124482171</v>
      </c>
      <c r="AZ23" s="22">
        <v>-134.34733141501724</v>
      </c>
      <c r="BA23" s="22">
        <v>2.1888431460934821</v>
      </c>
      <c r="BB23" s="23"/>
      <c r="BC23" s="23"/>
      <c r="BD23" s="23"/>
      <c r="BE23" s="23"/>
      <c r="BF23" s="22">
        <v>-30.909694765695697</v>
      </c>
      <c r="BG23" s="22">
        <v>0.88136336541533078</v>
      </c>
      <c r="BH23" s="22">
        <v>-32.747249389038259</v>
      </c>
      <c r="BI23" s="22">
        <v>0.41064515704094007</v>
      </c>
      <c r="BJ23" s="22">
        <v>-31.416839535100749</v>
      </c>
      <c r="BK23" s="22">
        <v>1.115822022318385E-2</v>
      </c>
      <c r="BL23" s="22">
        <v>-31.149137480146909</v>
      </c>
      <c r="BM23" s="22">
        <v>4.3637091242450327E-2</v>
      </c>
      <c r="BN23" s="22">
        <v>-31.661747779247374</v>
      </c>
      <c r="BO23" s="22">
        <v>7.201521113173226E-2</v>
      </c>
      <c r="BP23" s="22">
        <v>-31.396889663067974</v>
      </c>
      <c r="BQ23" s="22">
        <v>0.12188073529201389</v>
      </c>
      <c r="BR23" s="22">
        <v>-32.040047504276814</v>
      </c>
      <c r="BS23" s="22">
        <v>0.10964597590131894</v>
      </c>
      <c r="BT23" s="22">
        <v>-33.103996835225445</v>
      </c>
      <c r="BU23" s="22">
        <v>0.33889101171798258</v>
      </c>
      <c r="BV23" s="22">
        <v>-31.318650272537269</v>
      </c>
      <c r="BW23" s="22">
        <v>8.2839057648540534E-2</v>
      </c>
      <c r="BX23" s="22">
        <v>-33.278305712983297</v>
      </c>
      <c r="BY23" s="22">
        <v>8.5657312086141885E-2</v>
      </c>
      <c r="BZ23" s="22">
        <v>-32.04796200057109</v>
      </c>
      <c r="CA23" s="22">
        <v>3.3882895544155557E-2</v>
      </c>
      <c r="CB23" s="22">
        <v>-33.452431749065283</v>
      </c>
      <c r="CC23" s="22">
        <v>0.87987573395465735</v>
      </c>
      <c r="CD23" s="22">
        <v>-33.726009413626485</v>
      </c>
      <c r="CE23" s="22">
        <v>1.9267655144869361E-2</v>
      </c>
    </row>
    <row r="24" spans="1:83" x14ac:dyDescent="0.3">
      <c r="A24">
        <v>188</v>
      </c>
      <c r="B24">
        <v>10889</v>
      </c>
      <c r="C24">
        <v>10564</v>
      </c>
      <c r="D24">
        <v>11352</v>
      </c>
      <c r="E24">
        <v>6.9406997624388946</v>
      </c>
      <c r="F24">
        <v>29.136411673847654</v>
      </c>
      <c r="G24">
        <v>0.36958798882681571</v>
      </c>
      <c r="H24">
        <f t="shared" si="0"/>
        <v>0.69250916710319543</v>
      </c>
      <c r="I24">
        <v>0.54269293924466344</v>
      </c>
      <c r="J24">
        <v>0.96654606355728678</v>
      </c>
      <c r="K24">
        <f t="shared" si="1"/>
        <v>9.9595782073813677</v>
      </c>
      <c r="L24">
        <v>2.4271844660194173E-3</v>
      </c>
      <c r="M24">
        <v>4.9237170596393891E-3</v>
      </c>
      <c r="N24">
        <v>1.4285714285714287E-2</v>
      </c>
      <c r="O24">
        <v>2.5381414701803055E-2</v>
      </c>
      <c r="P24">
        <v>6.2205270457697651E-2</v>
      </c>
      <c r="Q24">
        <v>3.8418862690707357E-2</v>
      </c>
      <c r="R24">
        <v>0.11220527045769765</v>
      </c>
      <c r="S24">
        <v>0.12871012482662966</v>
      </c>
      <c r="T24">
        <v>0.14680998613037452</v>
      </c>
      <c r="U24">
        <v>7.0388349514563117E-2</v>
      </c>
      <c r="V24">
        <v>8.6477115117891828E-2</v>
      </c>
      <c r="W24">
        <v>5.6726768377253815E-2</v>
      </c>
      <c r="X24">
        <v>0.2647711511789182</v>
      </c>
      <c r="Y24">
        <v>6.9348127600554789E-3</v>
      </c>
      <c r="Z24">
        <v>0.3378640776699029</v>
      </c>
      <c r="AA24">
        <v>2.1914008321775317E-2</v>
      </c>
      <c r="AB24">
        <v>0.18335644937586687</v>
      </c>
      <c r="AC24">
        <v>1.3384188626907073E-2</v>
      </c>
      <c r="AD24">
        <v>6.1581137309292655E-2</v>
      </c>
      <c r="AE24">
        <v>1.2690707350901527E-2</v>
      </c>
      <c r="AF24">
        <v>5.4785020804438292E-3</v>
      </c>
      <c r="AG24">
        <v>0</v>
      </c>
      <c r="AH24">
        <f t="shared" si="3"/>
        <v>1.1372094891821671</v>
      </c>
      <c r="AI24" s="24">
        <f>AZ24-AN24</f>
        <v>-2.2575791975580017</v>
      </c>
      <c r="AJ24" s="22">
        <v>-93.713433952556883</v>
      </c>
      <c r="AK24" s="22">
        <v>2.2599273177441237</v>
      </c>
      <c r="AL24" s="22">
        <v>-88.56681385054867</v>
      </c>
      <c r="AM24" s="22">
        <v>0.28497640118895856</v>
      </c>
      <c r="AN24" s="22">
        <v>-100.68994896137316</v>
      </c>
      <c r="AO24" s="22">
        <v>1.8881366018159027</v>
      </c>
      <c r="AP24" s="22">
        <v>-93.810072768658586</v>
      </c>
      <c r="AQ24" s="22">
        <v>3.0792131912479208</v>
      </c>
      <c r="AR24" s="22">
        <v>-102.0091297745781</v>
      </c>
      <c r="AS24" s="22">
        <v>0.30682029565098151</v>
      </c>
      <c r="AT24" s="23"/>
      <c r="AU24" s="23"/>
      <c r="AV24" s="22">
        <v>-111.20080528267172</v>
      </c>
      <c r="AW24" s="22">
        <v>3.5269099787701745</v>
      </c>
      <c r="AX24" s="22">
        <v>-92.600905287861124</v>
      </c>
      <c r="AY24" s="22">
        <v>3.9266426534579422</v>
      </c>
      <c r="AZ24" s="22">
        <v>-102.94752815893116</v>
      </c>
      <c r="BA24" s="22">
        <v>1.2161551885597732</v>
      </c>
      <c r="BB24" s="23"/>
      <c r="BC24" s="23"/>
      <c r="BD24" s="23"/>
      <c r="BE24" s="23"/>
      <c r="BF24" s="22">
        <v>-30.139031498989421</v>
      </c>
      <c r="BG24" s="22">
        <v>0.3514428214271817</v>
      </c>
      <c r="BH24" s="22">
        <v>-32.721503645310193</v>
      </c>
      <c r="BI24" s="22">
        <v>0.55561843230815455</v>
      </c>
      <c r="BJ24" s="22">
        <v>-29.344982160508422</v>
      </c>
      <c r="BK24" s="22">
        <v>0.28026633870677436</v>
      </c>
      <c r="BL24" s="22">
        <v>-31.128792300904834</v>
      </c>
      <c r="BM24" s="22">
        <v>3.2758879667654277E-2</v>
      </c>
      <c r="BN24" s="22">
        <v>-31.359470725595244</v>
      </c>
      <c r="BO24" s="22">
        <v>0.1396236735587002</v>
      </c>
      <c r="BP24" s="22">
        <v>-31.156664350390955</v>
      </c>
      <c r="BQ24" s="22">
        <v>0.54424550415205408</v>
      </c>
      <c r="BR24" s="22">
        <v>-31.548306801589796</v>
      </c>
      <c r="BS24" s="22">
        <v>8.1353114516995048E-2</v>
      </c>
      <c r="BT24" s="22">
        <v>-30.735335400938347</v>
      </c>
      <c r="BU24" s="22">
        <v>0.38320897330727</v>
      </c>
      <c r="BV24" s="22">
        <v>-30.884623816179918</v>
      </c>
      <c r="BW24" s="22">
        <v>0.14808526531359642</v>
      </c>
      <c r="BX24" s="22">
        <v>-32.891608808404229</v>
      </c>
      <c r="BY24" s="22">
        <v>0.45683341960281487</v>
      </c>
      <c r="BZ24" s="22">
        <v>-31.775916223565133</v>
      </c>
      <c r="CA24" s="22">
        <v>2.8470104665298625E-2</v>
      </c>
      <c r="CB24" s="22">
        <v>-33.729569124828615</v>
      </c>
      <c r="CC24" s="22">
        <v>0.71390124544149347</v>
      </c>
      <c r="CD24" s="22">
        <v>-32.875739110267233</v>
      </c>
      <c r="CE24" s="22">
        <v>0.18729468350133202</v>
      </c>
    </row>
    <row r="25" spans="1:83" x14ac:dyDescent="0.3">
      <c r="A25">
        <v>187</v>
      </c>
      <c r="B25">
        <v>10829</v>
      </c>
      <c r="C25">
        <v>10491</v>
      </c>
      <c r="D25">
        <v>11323</v>
      </c>
      <c r="E25">
        <v>4.1822397998793344</v>
      </c>
      <c r="F25">
        <v>29.623789897440808</v>
      </c>
      <c r="G25">
        <v>0.49906599580831845</v>
      </c>
      <c r="H25">
        <f t="shared" si="0"/>
        <v>1.0707692307692307</v>
      </c>
      <c r="I25">
        <v>0.77983193277310903</v>
      </c>
      <c r="K25">
        <f t="shared" si="1"/>
        <v>28.54752615238105</v>
      </c>
      <c r="L25">
        <v>0</v>
      </c>
      <c r="M25">
        <v>8.6221820833090393E-3</v>
      </c>
      <c r="N25">
        <v>1.5187696880691151E-2</v>
      </c>
      <c r="O25">
        <v>2.341436602439886E-2</v>
      </c>
      <c r="P25">
        <v>1.0046028665873832E-2</v>
      </c>
      <c r="Q25">
        <v>8.3927845783402649E-2</v>
      </c>
      <c r="R25">
        <v>0.29250160291527683</v>
      </c>
      <c r="S25">
        <v>0.333812178909693</v>
      </c>
      <c r="T25">
        <v>0.34168472482611412</v>
      </c>
      <c r="U25">
        <v>0.14211162783147885</v>
      </c>
      <c r="V25">
        <v>0.1309926712278737</v>
      </c>
      <c r="W25">
        <v>6.1438322254956872E-2</v>
      </c>
      <c r="X25">
        <v>0.20917323474454777</v>
      </c>
      <c r="Y25">
        <v>5.156924748894428E-2</v>
      </c>
      <c r="Z25">
        <v>0.28721094155309063</v>
      </c>
      <c r="AA25">
        <v>2.8881996643574097E-2</v>
      </c>
      <c r="AB25">
        <v>0.22397626366493112</v>
      </c>
      <c r="AC25">
        <v>2.8479740422911501E-2</v>
      </c>
      <c r="AD25">
        <v>0.1099768507291526</v>
      </c>
      <c r="AE25">
        <v>1.1424076666817608E-2</v>
      </c>
      <c r="AF25">
        <v>9.0105393428420583E-3</v>
      </c>
      <c r="AG25">
        <v>0.23692891397026664</v>
      </c>
      <c r="AI25" s="24"/>
    </row>
    <row r="26" spans="1:83" x14ac:dyDescent="0.3">
      <c r="A26">
        <v>185</v>
      </c>
      <c r="B26">
        <v>10702</v>
      </c>
      <c r="C26">
        <v>10454</v>
      </c>
      <c r="D26">
        <v>11016</v>
      </c>
      <c r="E26">
        <v>7.0746838279354325</v>
      </c>
      <c r="F26">
        <v>28.948215237080451</v>
      </c>
      <c r="G26">
        <v>0.47358675525541877</v>
      </c>
      <c r="H26">
        <f t="shared" si="0"/>
        <v>0.56945933527339543</v>
      </c>
      <c r="I26">
        <v>0.50188984881209497</v>
      </c>
      <c r="J26">
        <v>0.96828433185812435</v>
      </c>
      <c r="K26">
        <f t="shared" si="1"/>
        <v>9.1714285714285726</v>
      </c>
      <c r="L26">
        <v>2.7656477438136829E-3</v>
      </c>
      <c r="M26">
        <v>1.2445414847161574E-2</v>
      </c>
      <c r="N26">
        <v>3.4133915574963612E-2</v>
      </c>
      <c r="O26">
        <v>3.7845705967976713E-3</v>
      </c>
      <c r="P26">
        <v>0.10320232896652111</v>
      </c>
      <c r="Q26">
        <v>8.486171761280932E-2</v>
      </c>
      <c r="R26">
        <v>0.24570596797671032</v>
      </c>
      <c r="S26">
        <v>0.32852983988355167</v>
      </c>
      <c r="T26">
        <v>0.31644832605531292</v>
      </c>
      <c r="U26">
        <v>0.15967976710334791</v>
      </c>
      <c r="V26">
        <v>0.16491994177583696</v>
      </c>
      <c r="W26">
        <v>9.6360989810771472E-2</v>
      </c>
      <c r="X26">
        <v>0.47518195050946149</v>
      </c>
      <c r="Y26">
        <v>1.0116448326055311E-2</v>
      </c>
      <c r="Z26">
        <v>0.53915574963609902</v>
      </c>
      <c r="AA26">
        <v>3.6026200873362446E-2</v>
      </c>
      <c r="AB26">
        <v>0.27059679767103345</v>
      </c>
      <c r="AC26">
        <v>1.6957787481804949E-2</v>
      </c>
      <c r="AD26">
        <v>7.4235807860262015E-2</v>
      </c>
      <c r="AE26">
        <v>3.129548762736536E-3</v>
      </c>
      <c r="AF26">
        <v>6.9141193595342069E-3</v>
      </c>
      <c r="AG26">
        <v>0</v>
      </c>
      <c r="AH26">
        <f>(((BZ26+1000)/(CD26+1000))-1)*1000</f>
        <v>1.0729897265135957</v>
      </c>
      <c r="AI26" s="24">
        <f>AZ26-AN26</f>
        <v>-46.29318881843426</v>
      </c>
      <c r="AJ26" s="22">
        <v>-133.4595218945889</v>
      </c>
      <c r="AK26" s="22">
        <v>3.2136105078627781</v>
      </c>
      <c r="AL26" s="22">
        <v>-136.77718584291881</v>
      </c>
      <c r="AM26" s="22">
        <v>1.5540129368036892</v>
      </c>
      <c r="AN26" s="22">
        <v>-115.66158117563532</v>
      </c>
      <c r="AO26" s="22">
        <v>4.5654776862898343</v>
      </c>
      <c r="AP26" s="22">
        <v>-111.50634403880774</v>
      </c>
      <c r="AQ26" s="22">
        <v>1.1581164929106196</v>
      </c>
      <c r="AR26" s="22">
        <v>-121.27293685287063</v>
      </c>
      <c r="AS26" s="22">
        <v>2.5859552893093638</v>
      </c>
      <c r="AT26" s="22">
        <v>-143.19082161682036</v>
      </c>
      <c r="AU26" s="22">
        <v>4.7318837340803599</v>
      </c>
      <c r="AV26" s="22">
        <v>-151.71294056540648</v>
      </c>
      <c r="AW26" s="22">
        <v>0.50954325651893628</v>
      </c>
      <c r="AX26" s="22">
        <v>-149.87133731909276</v>
      </c>
      <c r="AY26" s="22">
        <v>1.7224120262366072</v>
      </c>
      <c r="AZ26" s="22">
        <v>-161.95476999406958</v>
      </c>
      <c r="BA26" s="22">
        <v>4.8864992845316966</v>
      </c>
      <c r="BB26" s="23"/>
      <c r="BC26" s="23"/>
      <c r="BD26" s="23"/>
      <c r="BE26" s="23"/>
      <c r="BF26" s="22">
        <v>-29.010397037382504</v>
      </c>
      <c r="BG26" s="22">
        <v>1.630174275986326E-2</v>
      </c>
      <c r="BH26" s="22">
        <v>-29.617455506705266</v>
      </c>
      <c r="BI26" s="22">
        <v>0.46569446916031215</v>
      </c>
      <c r="BJ26" s="22">
        <v>-30.670641013068174</v>
      </c>
      <c r="BK26" s="22">
        <v>0.1714385755207706</v>
      </c>
      <c r="BL26" s="22">
        <v>-30.727924494359481</v>
      </c>
      <c r="BM26" s="22">
        <v>9.4971244374849328E-2</v>
      </c>
      <c r="BN26" s="22">
        <v>-31.005624039199944</v>
      </c>
      <c r="BO26" s="22">
        <v>0.13847140427644808</v>
      </c>
      <c r="BP26" s="22">
        <v>-31.225997740812332</v>
      </c>
      <c r="BQ26" s="22">
        <v>0.31169129204316637</v>
      </c>
      <c r="BR26" s="22">
        <v>-31.238945011401206</v>
      </c>
      <c r="BS26" s="22">
        <v>0.23522454655003738</v>
      </c>
      <c r="BT26" s="22">
        <v>-31.832532566011274</v>
      </c>
      <c r="BU26" s="22">
        <v>0.40625086478629474</v>
      </c>
      <c r="BV26" s="22">
        <v>-30.742631979649943</v>
      </c>
      <c r="BW26" s="22">
        <v>0.13387523792219283</v>
      </c>
      <c r="BX26" s="22">
        <v>-32.754524994535288</v>
      </c>
      <c r="BY26" s="22">
        <v>0.41268284255655552</v>
      </c>
      <c r="BZ26" s="22">
        <v>-31.686540650681739</v>
      </c>
      <c r="CA26" s="22">
        <v>0.15459438419677851</v>
      </c>
      <c r="CB26" s="22">
        <v>-33.390436727320626</v>
      </c>
      <c r="CC26" s="22">
        <v>1.2978906047556609</v>
      </c>
      <c r="CD26" s="22">
        <v>-32.724417413504668</v>
      </c>
      <c r="CE26" s="22">
        <v>0.20592763927370708</v>
      </c>
    </row>
    <row r="27" spans="1:83" x14ac:dyDescent="0.3">
      <c r="A27">
        <v>183</v>
      </c>
      <c r="B27">
        <v>10576</v>
      </c>
      <c r="C27">
        <v>10400</v>
      </c>
      <c r="D27">
        <v>10735</v>
      </c>
      <c r="E27">
        <v>8.0694822608080017</v>
      </c>
      <c r="F27">
        <v>28.85294836093605</v>
      </c>
      <c r="G27">
        <v>0.47952015562520262</v>
      </c>
      <c r="H27">
        <f t="shared" si="0"/>
        <v>0.50233925945729185</v>
      </c>
      <c r="I27">
        <v>0.4598629466470876</v>
      </c>
      <c r="K27">
        <f t="shared" si="1"/>
        <v>21.591768631813125</v>
      </c>
      <c r="L27">
        <v>0</v>
      </c>
      <c r="M27">
        <v>0</v>
      </c>
      <c r="N27">
        <v>8.7140439932318105E-3</v>
      </c>
      <c r="O27">
        <v>1.5228426395939084E-3</v>
      </c>
      <c r="P27">
        <v>6.7343485617597301E-2</v>
      </c>
      <c r="Q27">
        <v>4.6615905245346874E-2</v>
      </c>
      <c r="R27">
        <v>0.19077834179357026</v>
      </c>
      <c r="S27">
        <v>0.34111675126903551</v>
      </c>
      <c r="T27">
        <v>0.37538071065989848</v>
      </c>
      <c r="U27">
        <v>0.19856175972927242</v>
      </c>
      <c r="V27">
        <v>0.21082910321489004</v>
      </c>
      <c r="W27">
        <v>0.10761421319796956</v>
      </c>
      <c r="X27">
        <v>0.63291032148900173</v>
      </c>
      <c r="Y27">
        <v>1.0998307952622674E-2</v>
      </c>
      <c r="Z27">
        <v>0.69137055837563455</v>
      </c>
      <c r="AA27">
        <v>3.7817258883248731E-2</v>
      </c>
      <c r="AB27">
        <v>0.31793570219966161</v>
      </c>
      <c r="AC27">
        <v>1.7174280879864636E-2</v>
      </c>
      <c r="AD27">
        <v>8.0879864636209817E-2</v>
      </c>
      <c r="AE27">
        <v>3.1302876480541453E-3</v>
      </c>
      <c r="AF27">
        <v>8.6294416243654828E-3</v>
      </c>
      <c r="AG27">
        <v>0</v>
      </c>
      <c r="AI27" s="24"/>
      <c r="AJ27" s="23"/>
      <c r="AK27" s="23"/>
      <c r="AL27" s="22">
        <v>-86.301333335968721</v>
      </c>
      <c r="AM27" s="22">
        <v>0.1613784340067109</v>
      </c>
      <c r="AN27" s="22">
        <v>-120.16886103973138</v>
      </c>
      <c r="AO27" s="22">
        <v>1.2933764432938621</v>
      </c>
      <c r="AP27" s="22">
        <v>-89.003608476123503</v>
      </c>
      <c r="AQ27" s="22">
        <v>4.2563682348545111</v>
      </c>
      <c r="AR27" s="22">
        <v>-90.388901706081526</v>
      </c>
      <c r="AS27" s="22">
        <v>2.8434764209691683</v>
      </c>
      <c r="AT27" s="23"/>
      <c r="AU27" s="23"/>
      <c r="AV27" s="22">
        <v>-107.76658177645619</v>
      </c>
      <c r="AW27" s="22">
        <v>4.1220063864338155</v>
      </c>
      <c r="AX27" s="22">
        <v>-112.80429856391943</v>
      </c>
      <c r="AY27" s="22">
        <v>4.2315985356723109</v>
      </c>
      <c r="AZ27" s="23"/>
      <c r="BA27" s="23"/>
      <c r="BB27" s="23"/>
      <c r="BC27" s="23"/>
      <c r="BD27" s="23"/>
      <c r="BE27" s="23"/>
      <c r="BF27" s="22">
        <v>-30.005747271519009</v>
      </c>
      <c r="BG27" s="22">
        <v>0.38109213666659292</v>
      </c>
      <c r="BH27" s="22">
        <v>-32.216779774776938</v>
      </c>
      <c r="BI27" s="22">
        <v>0.73001422369775781</v>
      </c>
      <c r="BJ27" s="22">
        <v>-25.6062699010618</v>
      </c>
      <c r="BK27" s="22">
        <v>0.50033077476091481</v>
      </c>
      <c r="BL27" s="22">
        <v>-31.268309926560974</v>
      </c>
      <c r="BM27" s="22">
        <v>8.4241677916816887E-3</v>
      </c>
      <c r="BN27" s="22">
        <v>-31.459060092603323</v>
      </c>
      <c r="BO27" s="22">
        <v>0.12391058815213381</v>
      </c>
      <c r="BP27" s="22">
        <v>-31.873821367121881</v>
      </c>
      <c r="BQ27" s="22">
        <v>7.060956270267349E-2</v>
      </c>
      <c r="BR27" s="22">
        <v>-31.899325014113607</v>
      </c>
      <c r="BS27" s="22">
        <v>5.3418649007220355E-2</v>
      </c>
      <c r="BT27" s="22">
        <v>-31.600726983579818</v>
      </c>
      <c r="BU27" s="22">
        <v>1.3845378025324282</v>
      </c>
      <c r="BV27" s="22">
        <v>-31.106115506465983</v>
      </c>
      <c r="BW27" s="22">
        <v>3.8324343578116621E-2</v>
      </c>
      <c r="BX27" s="22">
        <v>-33.699798537975447</v>
      </c>
      <c r="BY27" s="22">
        <v>0.78520461358902682</v>
      </c>
      <c r="BZ27" s="22">
        <v>-31.719064572618009</v>
      </c>
      <c r="CA27" s="22">
        <v>0.11303673352293826</v>
      </c>
      <c r="CB27" s="23"/>
      <c r="CC27" s="23"/>
      <c r="CD27" s="23"/>
      <c r="CE27" s="23"/>
    </row>
    <row r="28" spans="1:83" x14ac:dyDescent="0.3">
      <c r="A28">
        <v>182</v>
      </c>
      <c r="B28">
        <v>10513</v>
      </c>
      <c r="C28">
        <v>10346</v>
      </c>
      <c r="D28">
        <v>10651</v>
      </c>
      <c r="E28">
        <v>5.2179055842248445</v>
      </c>
      <c r="F28">
        <v>28.843380848084454</v>
      </c>
      <c r="G28">
        <v>0.41206571505521139</v>
      </c>
      <c r="H28">
        <f t="shared" si="0"/>
        <v>0.44684230194319879</v>
      </c>
      <c r="I28">
        <v>0.45131156822041896</v>
      </c>
      <c r="J28">
        <v>0.96352975750515979</v>
      </c>
      <c r="K28">
        <f t="shared" si="1"/>
        <v>11.797829036635004</v>
      </c>
      <c r="L28">
        <v>0</v>
      </c>
      <c r="M28">
        <v>3.0187207488299533E-2</v>
      </c>
      <c r="N28">
        <v>4.0873634945397815E-2</v>
      </c>
      <c r="O28">
        <v>4.5241809672386894E-3</v>
      </c>
      <c r="P28">
        <v>0.13159126365054605</v>
      </c>
      <c r="Q28">
        <v>6.4118564742589701E-2</v>
      </c>
      <c r="R28">
        <v>0.20358814352574106</v>
      </c>
      <c r="S28">
        <v>0.27277691107644303</v>
      </c>
      <c r="T28">
        <v>0.3580343213728549</v>
      </c>
      <c r="U28">
        <v>0.19282371294851794</v>
      </c>
      <c r="V28">
        <v>0.28174726989079563</v>
      </c>
      <c r="W28">
        <v>0.14867394695787831</v>
      </c>
      <c r="X28">
        <v>0.8349453978159127</v>
      </c>
      <c r="Y28">
        <v>1.5990639625585022E-2</v>
      </c>
      <c r="Z28">
        <v>0.82667706708268329</v>
      </c>
      <c r="AA28">
        <v>5.647425897035882E-2</v>
      </c>
      <c r="AB28">
        <v>0.37308892355694229</v>
      </c>
      <c r="AC28">
        <v>0.15031201248049922</v>
      </c>
      <c r="AD28">
        <v>0.12152886115444618</v>
      </c>
      <c r="AE28">
        <v>2.7223088923556946E-2</v>
      </c>
      <c r="AF28">
        <v>1.622464898595944E-2</v>
      </c>
      <c r="AG28">
        <v>0</v>
      </c>
      <c r="AH28">
        <f>(((BZ28+1000)/(CD28+1000))-1)*1000</f>
        <v>1.2804217085817804</v>
      </c>
      <c r="AI28" s="24">
        <f>AZ28-AN28</f>
        <v>-1.1340105601951223</v>
      </c>
      <c r="AJ28" s="22">
        <v>-136.01222269076544</v>
      </c>
      <c r="AK28" s="22">
        <v>1.6464447615629882</v>
      </c>
      <c r="AL28" s="22">
        <v>-139.87569065197169</v>
      </c>
      <c r="AM28" s="22">
        <v>3.2402955842123591</v>
      </c>
      <c r="AN28" s="22">
        <v>-150.83315997777655</v>
      </c>
      <c r="AO28" s="22">
        <v>2.6974083917470044</v>
      </c>
      <c r="AP28" s="22">
        <v>-136.54426511535564</v>
      </c>
      <c r="AQ28" s="22">
        <v>3.8143842709421092</v>
      </c>
      <c r="AR28" s="22">
        <v>-174.94141404277798</v>
      </c>
      <c r="AS28" s="22">
        <v>2.8247111750607554</v>
      </c>
      <c r="AT28" s="22">
        <v>-171.52360894836505</v>
      </c>
      <c r="AU28" s="22">
        <v>4.345050845068446</v>
      </c>
      <c r="AV28" s="22">
        <v>-154.8344099730019</v>
      </c>
      <c r="AW28" s="22">
        <v>1.8539394854633275</v>
      </c>
      <c r="AX28" s="23"/>
      <c r="AY28" s="23"/>
      <c r="AZ28" s="22">
        <v>-151.96717053797167</v>
      </c>
      <c r="BA28" s="22">
        <v>3.9214556090663963</v>
      </c>
      <c r="BB28" s="23"/>
      <c r="BC28" s="23"/>
      <c r="BD28" s="23"/>
      <c r="BE28" s="23"/>
      <c r="BF28" s="22">
        <v>-33.387890698951409</v>
      </c>
      <c r="BG28" s="22">
        <v>0.11991843476774201</v>
      </c>
      <c r="BH28" s="22">
        <v>-30.458650412406989</v>
      </c>
      <c r="BI28" s="22">
        <v>1.01402580732463</v>
      </c>
      <c r="BJ28" s="22">
        <v>-32.009335101162627</v>
      </c>
      <c r="BK28" s="22">
        <v>0.20738071725789775</v>
      </c>
      <c r="BL28" s="22">
        <v>-31.39295638391723</v>
      </c>
      <c r="BM28" s="22">
        <v>0.13662421731640031</v>
      </c>
      <c r="BN28" s="22">
        <v>-32.139607607272033</v>
      </c>
      <c r="BO28" s="22">
        <v>1.3601906058614952E-2</v>
      </c>
      <c r="BP28" s="22">
        <v>-31.49721602394505</v>
      </c>
      <c r="BQ28" s="22">
        <v>2.4423826266002167E-2</v>
      </c>
      <c r="BR28" s="22">
        <v>-32.364027162413066</v>
      </c>
      <c r="BS28" s="22">
        <v>1.8636284210046764E-2</v>
      </c>
      <c r="BT28" s="22">
        <v>-29.462530088394711</v>
      </c>
      <c r="BU28" s="22">
        <v>0.25982387455843514</v>
      </c>
      <c r="BV28" s="22">
        <v>-31.752620378792287</v>
      </c>
      <c r="BW28" s="22">
        <v>3.2669311614245508E-2</v>
      </c>
      <c r="BX28" s="22">
        <v>-33.552625786934819</v>
      </c>
      <c r="BY28" s="22">
        <v>6.0248783175744789E-3</v>
      </c>
      <c r="BZ28" s="22">
        <v>-32.680866533268158</v>
      </c>
      <c r="CA28" s="22">
        <v>1.3479383516729131E-3</v>
      </c>
      <c r="CB28" s="23"/>
      <c r="CC28" s="23"/>
      <c r="CD28" s="22">
        <v>-33.917859078776971</v>
      </c>
      <c r="CE28" s="22">
        <v>0.24097283942445852</v>
      </c>
    </row>
    <row r="31" spans="1:83" x14ac:dyDescent="0.3">
      <c r="D31">
        <f>STDEVA(K2:K28)</f>
        <v>17.865958520796127</v>
      </c>
    </row>
  </sheetData>
  <conditionalFormatting sqref="AJ1:CE1">
    <cfRule type="duplicateValues" dxfId="12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C7B2-39A5-4A9F-A63D-3E8C486D3C25}">
  <dimension ref="A1:L65"/>
  <sheetViews>
    <sheetView workbookViewId="0">
      <selection activeCell="H4" activeCellId="2" sqref="D4 F4 H4"/>
    </sheetView>
  </sheetViews>
  <sheetFormatPr baseColWidth="10" defaultRowHeight="14.4" x14ac:dyDescent="0.3"/>
  <cols>
    <col min="3" max="3" width="12.5546875" bestFit="1" customWidth="1"/>
    <col min="8" max="8" width="15.5546875" bestFit="1" customWidth="1"/>
    <col min="10" max="10" width="7" bestFit="1" customWidth="1"/>
  </cols>
  <sheetData>
    <row r="1" spans="1:12" x14ac:dyDescent="0.3">
      <c r="A1" s="25" t="s">
        <v>105</v>
      </c>
      <c r="B1" s="25" t="s">
        <v>112</v>
      </c>
      <c r="C1" s="25"/>
      <c r="D1" s="25" t="s">
        <v>115</v>
      </c>
      <c r="E1" s="25"/>
      <c r="F1" s="25" t="s">
        <v>116</v>
      </c>
      <c r="G1" s="25"/>
      <c r="H1" s="25" t="s">
        <v>117</v>
      </c>
      <c r="I1" s="25"/>
    </row>
    <row r="2" spans="1:12" x14ac:dyDescent="0.3">
      <c r="A2" s="25"/>
      <c r="B2" t="s">
        <v>102</v>
      </c>
      <c r="C2" t="s">
        <v>131</v>
      </c>
      <c r="D2" t="s">
        <v>132</v>
      </c>
      <c r="E2" t="s">
        <v>133</v>
      </c>
      <c r="F2" t="s">
        <v>132</v>
      </c>
      <c r="G2" t="s">
        <v>133</v>
      </c>
      <c r="H2" t="s">
        <v>132</v>
      </c>
      <c r="I2" t="s">
        <v>133</v>
      </c>
      <c r="J2" t="s">
        <v>118</v>
      </c>
      <c r="K2" t="s">
        <v>119</v>
      </c>
    </row>
    <row r="3" spans="1:12" x14ac:dyDescent="0.3">
      <c r="A3" s="16">
        <v>218</v>
      </c>
      <c r="B3" s="16">
        <v>20715</v>
      </c>
      <c r="C3" s="16" t="s">
        <v>120</v>
      </c>
      <c r="D3" t="s">
        <v>128</v>
      </c>
      <c r="E3">
        <v>4</v>
      </c>
      <c r="F3" t="s">
        <v>129</v>
      </c>
      <c r="G3">
        <v>4</v>
      </c>
      <c r="H3" t="s">
        <v>130</v>
      </c>
      <c r="I3">
        <v>2</v>
      </c>
      <c r="J3">
        <v>370367</v>
      </c>
      <c r="K3">
        <v>8</v>
      </c>
      <c r="L3">
        <f>100*(K3/8)</f>
        <v>100</v>
      </c>
    </row>
    <row r="4" spans="1:12" x14ac:dyDescent="0.3">
      <c r="A4" s="16"/>
      <c r="B4" s="16"/>
      <c r="C4" s="16"/>
      <c r="D4" t="s">
        <v>128</v>
      </c>
      <c r="E4">
        <v>4</v>
      </c>
      <c r="F4" t="s">
        <v>129</v>
      </c>
      <c r="G4">
        <v>4</v>
      </c>
      <c r="H4" t="s">
        <v>134</v>
      </c>
      <c r="I4">
        <v>3</v>
      </c>
      <c r="J4">
        <v>2206</v>
      </c>
      <c r="K4">
        <v>3</v>
      </c>
      <c r="L4">
        <f>100*(K4/8)</f>
        <v>37.5</v>
      </c>
    </row>
    <row r="5" spans="1:12" x14ac:dyDescent="0.3">
      <c r="A5" s="16"/>
      <c r="B5" s="16"/>
      <c r="C5" s="16"/>
    </row>
    <row r="6" spans="1:12" x14ac:dyDescent="0.3">
      <c r="A6" s="16"/>
      <c r="B6" s="16"/>
      <c r="C6" s="16"/>
    </row>
    <row r="7" spans="1:12" x14ac:dyDescent="0.3">
      <c r="A7" s="16"/>
      <c r="B7" s="16"/>
      <c r="C7" s="16"/>
    </row>
    <row r="8" spans="1:12" x14ac:dyDescent="0.3">
      <c r="A8" s="16"/>
      <c r="B8" s="16"/>
      <c r="C8" s="16"/>
    </row>
    <row r="9" spans="1:12" x14ac:dyDescent="0.3">
      <c r="A9" s="16"/>
      <c r="B9" s="16"/>
      <c r="C9" s="16"/>
    </row>
    <row r="10" spans="1:12" x14ac:dyDescent="0.3">
      <c r="A10" s="16"/>
      <c r="B10" s="16"/>
      <c r="C10" s="16"/>
    </row>
    <row r="11" spans="1:12" x14ac:dyDescent="0.3">
      <c r="A11" s="16"/>
      <c r="B11" s="16"/>
      <c r="C11" s="16"/>
    </row>
    <row r="12" spans="1:12" s="15" customFormat="1" x14ac:dyDescent="0.3">
      <c r="A12" s="15">
        <v>212</v>
      </c>
      <c r="B12" s="15">
        <v>16647</v>
      </c>
      <c r="C12" s="15" t="s">
        <v>121</v>
      </c>
      <c r="D12" t="s">
        <v>128</v>
      </c>
      <c r="E12">
        <v>4</v>
      </c>
      <c r="F12" t="s">
        <v>129</v>
      </c>
      <c r="G12">
        <v>4</v>
      </c>
      <c r="H12" t="s">
        <v>130</v>
      </c>
      <c r="I12">
        <v>2</v>
      </c>
      <c r="J12">
        <v>370367</v>
      </c>
      <c r="K12">
        <v>8</v>
      </c>
      <c r="L12">
        <f>100*(K12/8)</f>
        <v>100</v>
      </c>
    </row>
    <row r="13" spans="1:12" x14ac:dyDescent="0.3">
      <c r="D13" t="s">
        <v>128</v>
      </c>
      <c r="E13">
        <v>4</v>
      </c>
      <c r="F13" t="s">
        <v>129</v>
      </c>
      <c r="G13">
        <v>4</v>
      </c>
      <c r="H13" t="s">
        <v>134</v>
      </c>
      <c r="I13">
        <v>3</v>
      </c>
      <c r="J13">
        <v>2206</v>
      </c>
      <c r="K13">
        <v>1</v>
      </c>
      <c r="L13">
        <f>100*(K13/8)</f>
        <v>12.5</v>
      </c>
    </row>
    <row r="15" spans="1:12" s="15" customFormat="1" x14ac:dyDescent="0.3">
      <c r="A15" s="15">
        <v>205</v>
      </c>
      <c r="B15" s="15">
        <v>13008</v>
      </c>
      <c r="C15" s="15" t="s">
        <v>122</v>
      </c>
    </row>
    <row r="18" spans="1:3" s="15" customFormat="1" x14ac:dyDescent="0.3">
      <c r="A18" s="15">
        <v>198</v>
      </c>
      <c r="B18" s="15">
        <v>11630</v>
      </c>
      <c r="C18" s="15" t="s">
        <v>123</v>
      </c>
    </row>
    <row r="21" spans="1:3" s="15" customFormat="1" x14ac:dyDescent="0.3">
      <c r="A21" s="15">
        <v>196</v>
      </c>
      <c r="B21" s="15">
        <v>11400</v>
      </c>
      <c r="C21" s="15" t="s">
        <v>124</v>
      </c>
    </row>
    <row r="22" spans="1:3" s="10" customFormat="1" x14ac:dyDescent="0.3"/>
    <row r="23" spans="1:3" s="15" customFormat="1" x14ac:dyDescent="0.3">
      <c r="A23" s="15">
        <v>192</v>
      </c>
      <c r="B23" s="15">
        <v>11127</v>
      </c>
      <c r="C23" s="15" t="s">
        <v>125</v>
      </c>
    </row>
    <row r="24" spans="1:3" s="10" customFormat="1" x14ac:dyDescent="0.3"/>
    <row r="25" spans="1:3" s="15" customFormat="1" x14ac:dyDescent="0.3">
      <c r="A25" s="15">
        <v>188</v>
      </c>
      <c r="B25" s="15">
        <v>10889</v>
      </c>
      <c r="C25" s="15" t="s">
        <v>126</v>
      </c>
    </row>
    <row r="26" spans="1:3" s="10" customFormat="1" x14ac:dyDescent="0.3"/>
    <row r="27" spans="1:3" s="15" customFormat="1" x14ac:dyDescent="0.3">
      <c r="A27" s="15">
        <v>182</v>
      </c>
      <c r="B27" s="15">
        <v>10513</v>
      </c>
      <c r="C27" s="15" t="s">
        <v>127</v>
      </c>
    </row>
    <row r="38" spans="2:3" x14ac:dyDescent="0.3">
      <c r="B38" s="10"/>
      <c r="C38" s="10"/>
    </row>
    <row r="39" spans="2:3" x14ac:dyDescent="0.3">
      <c r="B39" s="10"/>
      <c r="C39" s="10"/>
    </row>
    <row r="40" spans="2:3" x14ac:dyDescent="0.3">
      <c r="B40" s="10"/>
      <c r="C40" s="10"/>
    </row>
    <row r="41" spans="2:3" x14ac:dyDescent="0.3">
      <c r="B41" s="10"/>
      <c r="C41" s="10"/>
    </row>
    <row r="42" spans="2:3" x14ac:dyDescent="0.3">
      <c r="B42" s="10"/>
      <c r="C42" s="10"/>
    </row>
    <row r="43" spans="2:3" x14ac:dyDescent="0.3">
      <c r="B43" s="10"/>
      <c r="C43" s="10"/>
    </row>
    <row r="44" spans="2:3" x14ac:dyDescent="0.3">
      <c r="B44" s="10"/>
      <c r="C44" s="10"/>
    </row>
    <row r="45" spans="2:3" x14ac:dyDescent="0.3">
      <c r="B45" s="10"/>
      <c r="C45" s="10"/>
    </row>
    <row r="46" spans="2:3" x14ac:dyDescent="0.3">
      <c r="B46" s="10"/>
      <c r="C46" s="10"/>
    </row>
    <row r="47" spans="2:3" x14ac:dyDescent="0.3">
      <c r="B47" s="10"/>
      <c r="C47" s="10"/>
    </row>
    <row r="48" spans="2:3" x14ac:dyDescent="0.3">
      <c r="B48" s="10"/>
      <c r="C48" s="10"/>
    </row>
    <row r="49" spans="2:3" x14ac:dyDescent="0.3">
      <c r="B49" s="10"/>
      <c r="C49" s="10"/>
    </row>
    <row r="50" spans="2:3" x14ac:dyDescent="0.3">
      <c r="B50" s="10"/>
      <c r="C50" s="10"/>
    </row>
    <row r="51" spans="2:3" x14ac:dyDescent="0.3">
      <c r="B51" s="10"/>
      <c r="C51" s="10"/>
    </row>
    <row r="52" spans="2:3" x14ac:dyDescent="0.3">
      <c r="B52" s="10"/>
      <c r="C52" s="10"/>
    </row>
    <row r="53" spans="2:3" x14ac:dyDescent="0.3">
      <c r="B53" s="10"/>
      <c r="C53" s="10"/>
    </row>
    <row r="54" spans="2:3" x14ac:dyDescent="0.3">
      <c r="B54" s="10"/>
      <c r="C54" s="10"/>
    </row>
    <row r="55" spans="2:3" x14ac:dyDescent="0.3">
      <c r="B55" s="10"/>
      <c r="C55" s="10"/>
    </row>
    <row r="56" spans="2:3" x14ac:dyDescent="0.3">
      <c r="B56" s="10"/>
      <c r="C56" s="10"/>
    </row>
    <row r="57" spans="2:3" x14ac:dyDescent="0.3">
      <c r="B57" s="10"/>
      <c r="C57" s="10"/>
    </row>
    <row r="58" spans="2:3" x14ac:dyDescent="0.3">
      <c r="B58" s="10"/>
      <c r="C58" s="10"/>
    </row>
    <row r="59" spans="2:3" x14ac:dyDescent="0.3">
      <c r="B59" s="10"/>
      <c r="C59" s="10"/>
    </row>
    <row r="60" spans="2:3" x14ac:dyDescent="0.3">
      <c r="B60" s="10"/>
      <c r="C60" s="10"/>
    </row>
    <row r="61" spans="2:3" x14ac:dyDescent="0.3">
      <c r="B61" s="10"/>
      <c r="C61" s="10"/>
    </row>
    <row r="62" spans="2:3" x14ac:dyDescent="0.3">
      <c r="B62" s="10"/>
      <c r="C62" s="10"/>
    </row>
    <row r="63" spans="2:3" x14ac:dyDescent="0.3">
      <c r="B63" s="10"/>
      <c r="C63" s="10"/>
    </row>
    <row r="64" spans="2:3" x14ac:dyDescent="0.3">
      <c r="B64" s="10"/>
      <c r="C64" s="10"/>
    </row>
    <row r="65" spans="2:3" x14ac:dyDescent="0.3">
      <c r="B65" s="10"/>
      <c r="C65" s="10"/>
    </row>
  </sheetData>
  <mergeCells count="5">
    <mergeCell ref="A1:A2"/>
    <mergeCell ref="B1:C1"/>
    <mergeCell ref="D1:E1"/>
    <mergeCell ref="F1:G1"/>
    <mergeCell ref="H1:I1"/>
  </mergeCells>
  <conditionalFormatting sqref="K2 B2:C2 A1 E2">
    <cfRule type="duplicateValues" dxfId="11" priority="5"/>
  </conditionalFormatting>
  <conditionalFormatting sqref="B1">
    <cfRule type="duplicateValues" dxfId="10" priority="4"/>
  </conditionalFormatting>
  <conditionalFormatting sqref="G2">
    <cfRule type="duplicateValues" dxfId="9" priority="3"/>
  </conditionalFormatting>
  <conditionalFormatting sqref="B38:C38">
    <cfRule type="duplicateValues" dxfId="8" priority="2"/>
  </conditionalFormatting>
  <conditionalFormatting sqref="B38:C38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F293-77D2-4AF9-88AF-E0F9791C24DD}">
  <dimension ref="A1:T34"/>
  <sheetViews>
    <sheetView zoomScale="70" zoomScaleNormal="70" workbookViewId="0">
      <selection activeCell="N10" sqref="N10:N15"/>
    </sheetView>
  </sheetViews>
  <sheetFormatPr baseColWidth="10" defaultRowHeight="14.4" x14ac:dyDescent="0.3"/>
  <cols>
    <col min="1" max="1" width="20.77734375" bestFit="1" customWidth="1"/>
    <col min="2" max="2" width="15" bestFit="1" customWidth="1"/>
    <col min="3" max="3" width="11.33203125" bestFit="1" customWidth="1"/>
    <col min="4" max="4" width="30.44140625" bestFit="1" customWidth="1"/>
    <col min="5" max="5" width="12.5546875" bestFit="1" customWidth="1"/>
    <col min="6" max="6" width="12.5546875" customWidth="1"/>
    <col min="7" max="7" width="12.5546875" bestFit="1" customWidth="1"/>
    <col min="8" max="8" width="12.5546875" customWidth="1"/>
    <col min="9" max="9" width="12.5546875" bestFit="1" customWidth="1"/>
    <col min="10" max="10" width="12.5546875" customWidth="1"/>
    <col min="11" max="11" width="12.5546875" bestFit="1" customWidth="1"/>
    <col min="12" max="12" width="12.5546875" customWidth="1"/>
    <col min="13" max="13" width="12.5546875" bestFit="1" customWidth="1"/>
    <col min="14" max="14" width="12.5546875" customWidth="1"/>
    <col min="15" max="15" width="12.109375" bestFit="1" customWidth="1"/>
    <col min="16" max="16" width="12.109375" customWidth="1"/>
    <col min="17" max="17" width="12.5546875" bestFit="1" customWidth="1"/>
    <col min="18" max="18" width="12.5546875" customWidth="1"/>
    <col min="19" max="19" width="12.5546875" bestFit="1" customWidth="1"/>
  </cols>
  <sheetData>
    <row r="1" spans="1:20" x14ac:dyDescent="0.3">
      <c r="A1" s="25" t="s">
        <v>136</v>
      </c>
      <c r="B1" s="25" t="s">
        <v>115</v>
      </c>
      <c r="C1" s="25" t="s">
        <v>116</v>
      </c>
      <c r="D1" t="s">
        <v>105</v>
      </c>
      <c r="E1" s="25">
        <v>218</v>
      </c>
      <c r="F1" s="25"/>
      <c r="G1" s="25">
        <v>212</v>
      </c>
      <c r="H1" s="25"/>
      <c r="I1" s="25">
        <v>205</v>
      </c>
      <c r="J1" s="25"/>
      <c r="K1" s="25">
        <v>198</v>
      </c>
      <c r="L1" s="25"/>
      <c r="M1" s="25">
        <v>196</v>
      </c>
      <c r="N1" s="25"/>
      <c r="O1" s="25">
        <v>192</v>
      </c>
      <c r="P1" s="25"/>
      <c r="Q1" s="25">
        <v>188</v>
      </c>
      <c r="R1" s="25"/>
      <c r="S1" s="25">
        <v>182</v>
      </c>
      <c r="T1" s="25"/>
    </row>
    <row r="2" spans="1:20" x14ac:dyDescent="0.3">
      <c r="A2" s="25"/>
      <c r="B2" s="25"/>
      <c r="C2" s="25"/>
      <c r="D2" t="s">
        <v>112</v>
      </c>
      <c r="E2" s="25">
        <v>20715</v>
      </c>
      <c r="F2" s="25"/>
      <c r="G2" s="25">
        <v>16647</v>
      </c>
      <c r="H2" s="25"/>
      <c r="I2" s="25">
        <v>13008</v>
      </c>
      <c r="J2" s="25"/>
      <c r="K2" s="25">
        <v>11630</v>
      </c>
      <c r="L2" s="25"/>
      <c r="M2" s="25">
        <v>11400</v>
      </c>
      <c r="N2" s="25"/>
      <c r="O2" s="25">
        <v>11127</v>
      </c>
      <c r="P2" s="25"/>
      <c r="Q2" s="25">
        <v>10889</v>
      </c>
      <c r="R2" s="25"/>
      <c r="S2" s="25">
        <v>10513</v>
      </c>
      <c r="T2" s="25"/>
    </row>
    <row r="3" spans="1:20" x14ac:dyDescent="0.3">
      <c r="A3" s="25"/>
      <c r="B3" s="25"/>
      <c r="C3" s="25"/>
      <c r="D3" t="s">
        <v>135</v>
      </c>
      <c r="E3" s="25" t="s">
        <v>120</v>
      </c>
      <c r="F3" s="25"/>
      <c r="G3" s="25" t="s">
        <v>121</v>
      </c>
      <c r="H3" s="25"/>
      <c r="I3" s="25" t="s">
        <v>122</v>
      </c>
      <c r="J3" s="25"/>
      <c r="K3" s="25" t="s">
        <v>123</v>
      </c>
      <c r="L3" s="25"/>
      <c r="M3" s="25" t="s">
        <v>124</v>
      </c>
      <c r="N3" s="25"/>
      <c r="O3" s="25" t="s">
        <v>125</v>
      </c>
      <c r="P3" s="25"/>
      <c r="Q3" s="25" t="s">
        <v>126</v>
      </c>
      <c r="R3" s="25"/>
      <c r="S3" s="25" t="s">
        <v>127</v>
      </c>
      <c r="T3" s="25"/>
    </row>
    <row r="4" spans="1:20" x14ac:dyDescent="0.3">
      <c r="A4" s="25"/>
      <c r="B4" s="25"/>
      <c r="C4" s="25"/>
      <c r="D4" s="16" t="s">
        <v>117</v>
      </c>
      <c r="E4" t="s">
        <v>118</v>
      </c>
      <c r="F4" t="s">
        <v>175</v>
      </c>
      <c r="G4" t="s">
        <v>118</v>
      </c>
      <c r="H4" t="s">
        <v>175</v>
      </c>
      <c r="I4" t="s">
        <v>118</v>
      </c>
      <c r="J4" t="s">
        <v>175</v>
      </c>
      <c r="K4" t="s">
        <v>118</v>
      </c>
      <c r="L4" t="s">
        <v>175</v>
      </c>
      <c r="M4" t="s">
        <v>118</v>
      </c>
      <c r="N4" t="s">
        <v>175</v>
      </c>
      <c r="O4" t="s">
        <v>118</v>
      </c>
      <c r="P4" t="s">
        <v>175</v>
      </c>
      <c r="Q4" t="s">
        <v>118</v>
      </c>
      <c r="R4" t="s">
        <v>175</v>
      </c>
      <c r="S4" t="s">
        <v>118</v>
      </c>
      <c r="T4" t="s">
        <v>175</v>
      </c>
    </row>
    <row r="5" spans="1:20" x14ac:dyDescent="0.3">
      <c r="A5" s="25" t="s">
        <v>137</v>
      </c>
      <c r="B5" s="25" t="s">
        <v>128</v>
      </c>
      <c r="C5" s="25" t="s">
        <v>129</v>
      </c>
      <c r="D5" t="s">
        <v>130</v>
      </c>
      <c r="E5">
        <v>370367</v>
      </c>
      <c r="F5">
        <v>100</v>
      </c>
      <c r="G5">
        <v>49058</v>
      </c>
      <c r="H5">
        <v>100</v>
      </c>
      <c r="I5">
        <v>158037</v>
      </c>
      <c r="J5">
        <v>100</v>
      </c>
      <c r="K5">
        <v>153463</v>
      </c>
      <c r="L5">
        <v>100</v>
      </c>
      <c r="M5">
        <v>149218</v>
      </c>
      <c r="N5">
        <v>100</v>
      </c>
      <c r="O5">
        <v>691314</v>
      </c>
      <c r="P5">
        <v>100</v>
      </c>
      <c r="Q5">
        <v>99819</v>
      </c>
      <c r="R5">
        <v>100</v>
      </c>
      <c r="S5">
        <v>21596</v>
      </c>
      <c r="T5">
        <v>100</v>
      </c>
    </row>
    <row r="6" spans="1:20" x14ac:dyDescent="0.3">
      <c r="A6" s="25"/>
      <c r="B6" s="25"/>
      <c r="C6" s="25"/>
      <c r="D6" t="s">
        <v>134</v>
      </c>
      <c r="E6">
        <v>10802</v>
      </c>
      <c r="F6">
        <v>37.5</v>
      </c>
      <c r="G6">
        <v>425</v>
      </c>
      <c r="H6">
        <v>12.5</v>
      </c>
      <c r="I6">
        <v>2206</v>
      </c>
      <c r="J6">
        <v>62.5</v>
      </c>
      <c r="K6">
        <v>1298</v>
      </c>
      <c r="L6">
        <v>25</v>
      </c>
      <c r="M6">
        <v>418</v>
      </c>
      <c r="N6">
        <v>25</v>
      </c>
      <c r="O6">
        <v>925</v>
      </c>
      <c r="P6">
        <v>12.5</v>
      </c>
      <c r="Q6">
        <v>6</v>
      </c>
      <c r="R6">
        <v>12.5</v>
      </c>
      <c r="S6">
        <v>12132</v>
      </c>
      <c r="T6">
        <v>100</v>
      </c>
    </row>
    <row r="7" spans="1:20" x14ac:dyDescent="0.3">
      <c r="A7" s="25"/>
      <c r="B7" s="25" t="s">
        <v>138</v>
      </c>
      <c r="C7" t="s">
        <v>139</v>
      </c>
      <c r="D7" t="s">
        <v>143</v>
      </c>
      <c r="E7">
        <v>403</v>
      </c>
      <c r="F7">
        <v>12.5</v>
      </c>
      <c r="G7">
        <v>682</v>
      </c>
      <c r="H7">
        <v>75</v>
      </c>
      <c r="I7">
        <v>662</v>
      </c>
      <c r="J7">
        <v>75</v>
      </c>
      <c r="K7">
        <v>464</v>
      </c>
      <c r="L7">
        <v>37.5</v>
      </c>
      <c r="O7">
        <v>952</v>
      </c>
      <c r="P7">
        <v>25</v>
      </c>
      <c r="Q7">
        <v>881</v>
      </c>
      <c r="R7">
        <v>87.5</v>
      </c>
      <c r="S7">
        <v>123</v>
      </c>
      <c r="T7">
        <v>25</v>
      </c>
    </row>
    <row r="8" spans="1:20" x14ac:dyDescent="0.3">
      <c r="A8" s="25"/>
      <c r="B8" s="25"/>
      <c r="C8" s="25" t="s">
        <v>140</v>
      </c>
      <c r="D8" t="s">
        <v>142</v>
      </c>
      <c r="E8">
        <v>246</v>
      </c>
      <c r="F8">
        <v>12.5</v>
      </c>
      <c r="G8">
        <v>17</v>
      </c>
      <c r="H8">
        <v>12.5</v>
      </c>
      <c r="I8">
        <v>236</v>
      </c>
      <c r="J8">
        <v>37.5</v>
      </c>
      <c r="Q8">
        <v>370</v>
      </c>
      <c r="R8">
        <v>12.5</v>
      </c>
      <c r="S8">
        <v>571</v>
      </c>
      <c r="T8">
        <v>75</v>
      </c>
    </row>
    <row r="9" spans="1:20" x14ac:dyDescent="0.3">
      <c r="A9" s="25"/>
      <c r="B9" s="25"/>
      <c r="C9" s="25"/>
      <c r="D9" t="s">
        <v>141</v>
      </c>
      <c r="E9">
        <v>816</v>
      </c>
      <c r="F9">
        <v>12.5</v>
      </c>
      <c r="G9">
        <v>115</v>
      </c>
      <c r="H9">
        <v>3</v>
      </c>
      <c r="K9">
        <v>411</v>
      </c>
      <c r="L9">
        <v>25</v>
      </c>
      <c r="M9">
        <v>155</v>
      </c>
      <c r="N9">
        <v>12.5</v>
      </c>
      <c r="Q9">
        <v>160</v>
      </c>
      <c r="R9">
        <v>37.5</v>
      </c>
    </row>
    <row r="10" spans="1:20" x14ac:dyDescent="0.3">
      <c r="A10" s="25" t="s">
        <v>144</v>
      </c>
      <c r="B10" s="25" t="s">
        <v>145</v>
      </c>
      <c r="C10" t="s">
        <v>141</v>
      </c>
      <c r="D10" t="s">
        <v>141</v>
      </c>
      <c r="I10">
        <v>56</v>
      </c>
      <c r="J10">
        <v>25</v>
      </c>
      <c r="M10">
        <v>1996</v>
      </c>
      <c r="N10">
        <v>12.5</v>
      </c>
      <c r="O10">
        <v>5331</v>
      </c>
      <c r="P10">
        <v>12.5</v>
      </c>
      <c r="Q10">
        <v>10253</v>
      </c>
      <c r="R10">
        <v>26.78</v>
      </c>
      <c r="S10">
        <v>18307</v>
      </c>
      <c r="T10">
        <v>35.93</v>
      </c>
    </row>
    <row r="11" spans="1:20" x14ac:dyDescent="0.3">
      <c r="A11" s="25"/>
      <c r="B11" s="25"/>
      <c r="C11" t="s">
        <v>154</v>
      </c>
      <c r="D11" t="s">
        <v>155</v>
      </c>
      <c r="G11">
        <v>282</v>
      </c>
      <c r="H11">
        <v>25</v>
      </c>
    </row>
    <row r="12" spans="1:20" x14ac:dyDescent="0.3">
      <c r="A12" s="25"/>
      <c r="B12" t="s">
        <v>146</v>
      </c>
      <c r="C12" t="s">
        <v>141</v>
      </c>
      <c r="D12" t="s">
        <v>141</v>
      </c>
      <c r="E12">
        <v>53748</v>
      </c>
      <c r="F12">
        <v>31.25</v>
      </c>
      <c r="I12">
        <v>429</v>
      </c>
      <c r="J12">
        <v>11.1</v>
      </c>
      <c r="K12">
        <v>3237</v>
      </c>
      <c r="L12">
        <v>12.5</v>
      </c>
      <c r="M12">
        <v>8192</v>
      </c>
      <c r="N12">
        <v>18</v>
      </c>
      <c r="O12">
        <v>39695</v>
      </c>
      <c r="P12">
        <v>12.5</v>
      </c>
      <c r="Q12">
        <v>255</v>
      </c>
      <c r="R12">
        <v>12.5</v>
      </c>
    </row>
    <row r="13" spans="1:20" x14ac:dyDescent="0.3">
      <c r="A13" s="25"/>
      <c r="B13" t="s">
        <v>147</v>
      </c>
      <c r="C13" t="s">
        <v>156</v>
      </c>
      <c r="D13" t="s">
        <v>157</v>
      </c>
      <c r="E13">
        <v>34658</v>
      </c>
      <c r="F13">
        <v>50</v>
      </c>
      <c r="G13">
        <v>734</v>
      </c>
      <c r="H13">
        <v>12.5</v>
      </c>
      <c r="I13">
        <v>512</v>
      </c>
      <c r="J13">
        <v>37.5</v>
      </c>
      <c r="M13">
        <v>1227</v>
      </c>
      <c r="N13">
        <v>12.5</v>
      </c>
      <c r="Q13">
        <v>1326</v>
      </c>
      <c r="R13">
        <v>12.5</v>
      </c>
      <c r="S13">
        <v>81</v>
      </c>
      <c r="T13">
        <v>12.5</v>
      </c>
    </row>
    <row r="14" spans="1:20" x14ac:dyDescent="0.3">
      <c r="A14" s="25"/>
      <c r="B14" t="s">
        <v>148</v>
      </c>
      <c r="C14" t="s">
        <v>158</v>
      </c>
      <c r="D14" t="s">
        <v>159</v>
      </c>
      <c r="E14">
        <v>12599</v>
      </c>
      <c r="F14">
        <v>12.5</v>
      </c>
      <c r="G14">
        <v>2305</v>
      </c>
      <c r="H14">
        <v>12.5</v>
      </c>
      <c r="I14">
        <v>2806</v>
      </c>
      <c r="J14">
        <v>50</v>
      </c>
      <c r="M14">
        <v>2374</v>
      </c>
      <c r="N14">
        <v>75</v>
      </c>
      <c r="S14">
        <v>566</v>
      </c>
      <c r="T14">
        <v>25</v>
      </c>
    </row>
    <row r="15" spans="1:20" s="10" customFormat="1" x14ac:dyDescent="0.3">
      <c r="A15" s="25"/>
      <c r="B15" s="17" t="s">
        <v>149</v>
      </c>
      <c r="C15" s="10" t="s">
        <v>160</v>
      </c>
      <c r="D15" s="10" t="s">
        <v>161</v>
      </c>
      <c r="K15" s="10">
        <v>157</v>
      </c>
      <c r="L15" s="10">
        <v>12.5</v>
      </c>
      <c r="O15" s="10">
        <v>4860</v>
      </c>
      <c r="P15" s="10">
        <v>25</v>
      </c>
      <c r="Q15" s="10">
        <v>3</v>
      </c>
      <c r="R15" s="10">
        <v>12.5</v>
      </c>
    </row>
    <row r="16" spans="1:20" x14ac:dyDescent="0.3">
      <c r="A16" s="25"/>
      <c r="B16" s="10" t="s">
        <v>150</v>
      </c>
      <c r="C16" s="10" t="s">
        <v>141</v>
      </c>
      <c r="D16" s="10" t="s">
        <v>141</v>
      </c>
      <c r="E16" s="10"/>
      <c r="F16" s="10"/>
      <c r="I16" s="10">
        <v>14</v>
      </c>
      <c r="J16" s="10">
        <v>12.5</v>
      </c>
      <c r="K16">
        <v>34137</v>
      </c>
      <c r="L16">
        <v>12.5</v>
      </c>
    </row>
    <row r="17" spans="1:20" x14ac:dyDescent="0.3">
      <c r="A17" s="25"/>
      <c r="B17" s="10" t="s">
        <v>151</v>
      </c>
      <c r="C17" s="10" t="s">
        <v>141</v>
      </c>
      <c r="D17" s="10" t="s">
        <v>141</v>
      </c>
      <c r="E17" s="10">
        <v>5237</v>
      </c>
      <c r="F17" s="10">
        <v>12.5</v>
      </c>
      <c r="K17">
        <v>935</v>
      </c>
      <c r="L17">
        <v>12.5</v>
      </c>
    </row>
    <row r="18" spans="1:20" x14ac:dyDescent="0.3">
      <c r="A18" s="25"/>
      <c r="B18" s="10" t="s">
        <v>152</v>
      </c>
      <c r="C18" s="10" t="s">
        <v>162</v>
      </c>
      <c r="D18" s="10" t="s">
        <v>141</v>
      </c>
      <c r="E18" s="10"/>
      <c r="F18" s="10"/>
      <c r="Q18">
        <v>1230</v>
      </c>
      <c r="R18">
        <v>12.5</v>
      </c>
    </row>
    <row r="19" spans="1:20" x14ac:dyDescent="0.3">
      <c r="A19" s="25"/>
      <c r="B19" s="10" t="s">
        <v>153</v>
      </c>
      <c r="C19" s="10"/>
      <c r="D19" s="10"/>
      <c r="E19" s="10"/>
      <c r="F19" s="10"/>
      <c r="Q19">
        <v>506</v>
      </c>
      <c r="R19">
        <v>12.5</v>
      </c>
      <c r="S19">
        <v>388</v>
      </c>
      <c r="T19">
        <v>12.5</v>
      </c>
    </row>
    <row r="20" spans="1:20" s="19" customFormat="1" x14ac:dyDescent="0.3">
      <c r="A20" s="26" t="s">
        <v>163</v>
      </c>
      <c r="B20" s="19" t="s">
        <v>164</v>
      </c>
      <c r="C20" s="19" t="s">
        <v>141</v>
      </c>
      <c r="D20" s="19" t="s">
        <v>141</v>
      </c>
      <c r="I20" s="19">
        <v>477</v>
      </c>
      <c r="J20" s="19">
        <v>12.5</v>
      </c>
      <c r="M20" s="19">
        <v>465</v>
      </c>
      <c r="N20" s="19">
        <v>25</v>
      </c>
      <c r="Q20" s="19">
        <v>819</v>
      </c>
      <c r="R20" s="19">
        <v>37.5</v>
      </c>
    </row>
    <row r="21" spans="1:20" s="19" customFormat="1" x14ac:dyDescent="0.3">
      <c r="A21" s="26"/>
      <c r="B21" s="19" t="s">
        <v>165</v>
      </c>
      <c r="C21" s="19" t="s">
        <v>171</v>
      </c>
      <c r="D21" s="19" t="s">
        <v>170</v>
      </c>
      <c r="Q21" s="19">
        <v>4</v>
      </c>
      <c r="R21" s="19">
        <v>12.5</v>
      </c>
    </row>
    <row r="22" spans="1:20" s="18" customFormat="1" x14ac:dyDescent="0.3">
      <c r="A22" s="27" t="s">
        <v>166</v>
      </c>
      <c r="B22" s="18" t="s">
        <v>169</v>
      </c>
      <c r="C22" s="18" t="s">
        <v>172</v>
      </c>
      <c r="D22" s="18" t="s">
        <v>141</v>
      </c>
      <c r="E22" s="18">
        <v>15053</v>
      </c>
      <c r="F22" s="18">
        <v>12.5</v>
      </c>
    </row>
    <row r="23" spans="1:20" s="18" customFormat="1" x14ac:dyDescent="0.3">
      <c r="A23" s="27"/>
      <c r="B23" s="18" t="s">
        <v>167</v>
      </c>
      <c r="C23" s="18" t="s">
        <v>173</v>
      </c>
      <c r="D23" s="18" t="s">
        <v>141</v>
      </c>
      <c r="K23" s="18">
        <v>14499</v>
      </c>
      <c r="L23" s="18">
        <v>75</v>
      </c>
    </row>
    <row r="24" spans="1:20" s="18" customFormat="1" x14ac:dyDescent="0.3">
      <c r="A24" s="27"/>
      <c r="B24" s="18" t="s">
        <v>168</v>
      </c>
      <c r="C24" s="18" t="s">
        <v>174</v>
      </c>
      <c r="D24" s="18" t="s">
        <v>141</v>
      </c>
      <c r="S24" s="18">
        <v>3049</v>
      </c>
      <c r="T24" s="18">
        <v>87.5</v>
      </c>
    </row>
    <row r="25" spans="1:20" x14ac:dyDescent="0.3">
      <c r="E25">
        <f>SUM(E5:E24)</f>
        <v>503929</v>
      </c>
      <c r="G25">
        <f t="shared" ref="G25:S25" si="0">SUM(G5:G24)</f>
        <v>53618</v>
      </c>
      <c r="I25">
        <f t="shared" si="0"/>
        <v>165435</v>
      </c>
      <c r="K25">
        <f t="shared" si="0"/>
        <v>208601</v>
      </c>
      <c r="M25">
        <f t="shared" si="0"/>
        <v>164045</v>
      </c>
      <c r="O25">
        <f t="shared" si="0"/>
        <v>743077</v>
      </c>
      <c r="Q25">
        <f t="shared" si="0"/>
        <v>115632</v>
      </c>
      <c r="S25">
        <f t="shared" si="0"/>
        <v>56813</v>
      </c>
    </row>
    <row r="26" spans="1:20" x14ac:dyDescent="0.3">
      <c r="A26" t="s">
        <v>128</v>
      </c>
      <c r="E26">
        <f>SUM(E5:E6)/E25</f>
        <v>0.75639425395244175</v>
      </c>
      <c r="F26" t="e">
        <f t="shared" ref="F26:S26" si="1">SUM(F5:F6)/F25</f>
        <v>#DIV/0!</v>
      </c>
      <c r="G26">
        <f t="shared" si="1"/>
        <v>0.92288037599313666</v>
      </c>
      <c r="H26" t="e">
        <f t="shared" si="1"/>
        <v>#DIV/0!</v>
      </c>
      <c r="I26">
        <f t="shared" si="1"/>
        <v>0.96861607277782813</v>
      </c>
      <c r="J26" t="e">
        <f t="shared" si="1"/>
        <v>#DIV/0!</v>
      </c>
      <c r="K26">
        <f t="shared" si="1"/>
        <v>0.7418996073844325</v>
      </c>
      <c r="L26" t="e">
        <f t="shared" si="1"/>
        <v>#DIV/0!</v>
      </c>
      <c r="M26">
        <f t="shared" si="1"/>
        <v>0.91216434514919686</v>
      </c>
      <c r="N26" t="e">
        <f t="shared" si="1"/>
        <v>#DIV/0!</v>
      </c>
      <c r="O26">
        <f t="shared" si="1"/>
        <v>0.93158447913204145</v>
      </c>
      <c r="P26" t="e">
        <f t="shared" si="1"/>
        <v>#DIV/0!</v>
      </c>
      <c r="Q26">
        <f t="shared" si="1"/>
        <v>0.86329908675799083</v>
      </c>
      <c r="R26" t="e">
        <f t="shared" si="1"/>
        <v>#DIV/0!</v>
      </c>
      <c r="S26">
        <f t="shared" si="1"/>
        <v>0.59366694242514917</v>
      </c>
    </row>
    <row r="27" spans="1:20" x14ac:dyDescent="0.3">
      <c r="A27" t="s">
        <v>176</v>
      </c>
      <c r="E27" cm="1">
        <f t="array" ref="E27:E34">E12:E19</f>
        <v>53748</v>
      </c>
      <c r="F27" cm="1">
        <f t="array" ref="F27:F34">F12:F19</f>
        <v>31.25</v>
      </c>
      <c r="G27" cm="1">
        <f t="array" ref="G27:G34">G12:G19</f>
        <v>0</v>
      </c>
      <c r="H27" cm="1">
        <f t="array" ref="H27:H34">H12:H19</f>
        <v>0</v>
      </c>
      <c r="I27" cm="1">
        <f t="array" ref="I27:I34">I12:I19</f>
        <v>429</v>
      </c>
      <c r="J27" cm="1">
        <f t="array" ref="J27:J34">J12:J19</f>
        <v>11.1</v>
      </c>
      <c r="K27" cm="1">
        <f t="array" ref="K27:K34">K12:K19</f>
        <v>3237</v>
      </c>
      <c r="L27" cm="1">
        <f t="array" ref="L27:L34">L12:L19</f>
        <v>12.5</v>
      </c>
      <c r="M27" cm="1">
        <f t="array" ref="M27:M34">M12:M19</f>
        <v>8192</v>
      </c>
      <c r="N27" cm="1">
        <f t="array" ref="N27:N34">N12:N19</f>
        <v>18</v>
      </c>
      <c r="O27" cm="1">
        <f t="array" ref="O27:O34">O12:O19</f>
        <v>39695</v>
      </c>
      <c r="P27" cm="1">
        <f t="array" ref="P27:P34">P12:P19</f>
        <v>12.5</v>
      </c>
      <c r="Q27" cm="1">
        <f t="array" ref="Q27:Q34">Q12:Q19</f>
        <v>255</v>
      </c>
      <c r="R27" cm="1">
        <f t="array" ref="R27:R34">R12:R19</f>
        <v>12.5</v>
      </c>
      <c r="S27" cm="1">
        <f t="array" ref="S27:S34">S12:S19</f>
        <v>0</v>
      </c>
      <c r="T27" cm="1">
        <f t="array" ref="T27:T34">T12:T19</f>
        <v>0</v>
      </c>
    </row>
    <row r="28" spans="1:20" x14ac:dyDescent="0.3">
      <c r="A28" t="s">
        <v>163</v>
      </c>
      <c r="E28">
        <v>34658</v>
      </c>
      <c r="F28">
        <v>50</v>
      </c>
      <c r="G28">
        <v>734</v>
      </c>
      <c r="H28">
        <v>12.5</v>
      </c>
      <c r="I28">
        <v>512</v>
      </c>
      <c r="J28">
        <v>37.5</v>
      </c>
      <c r="K28">
        <v>0</v>
      </c>
      <c r="L28">
        <v>0</v>
      </c>
      <c r="M28">
        <v>1227</v>
      </c>
      <c r="N28">
        <v>12.5</v>
      </c>
      <c r="O28">
        <v>0</v>
      </c>
      <c r="P28">
        <v>0</v>
      </c>
      <c r="Q28">
        <v>1326</v>
      </c>
      <c r="R28">
        <v>12.5</v>
      </c>
      <c r="S28">
        <v>81</v>
      </c>
      <c r="T28">
        <v>12.5</v>
      </c>
    </row>
    <row r="29" spans="1:20" x14ac:dyDescent="0.3">
      <c r="A29" t="s">
        <v>166</v>
      </c>
      <c r="E29">
        <v>12599</v>
      </c>
      <c r="F29">
        <v>12.5</v>
      </c>
      <c r="G29">
        <v>2305</v>
      </c>
      <c r="H29">
        <v>12.5</v>
      </c>
      <c r="I29">
        <v>2806</v>
      </c>
      <c r="J29">
        <v>50</v>
      </c>
      <c r="K29">
        <v>0</v>
      </c>
      <c r="L29">
        <v>0</v>
      </c>
      <c r="M29">
        <v>2374</v>
      </c>
      <c r="N29">
        <v>75</v>
      </c>
      <c r="O29">
        <v>0</v>
      </c>
      <c r="P29">
        <v>0</v>
      </c>
      <c r="Q29">
        <v>0</v>
      </c>
      <c r="R29">
        <v>0</v>
      </c>
      <c r="S29">
        <v>566</v>
      </c>
      <c r="T29">
        <v>25</v>
      </c>
    </row>
    <row r="30" spans="1:20" x14ac:dyDescent="0.3"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157</v>
      </c>
      <c r="L30">
        <v>12.5</v>
      </c>
      <c r="M30">
        <v>0</v>
      </c>
      <c r="N30">
        <v>0</v>
      </c>
      <c r="O30">
        <v>4860</v>
      </c>
      <c r="P30">
        <v>25</v>
      </c>
      <c r="Q30">
        <v>3</v>
      </c>
      <c r="R30">
        <v>12.5</v>
      </c>
      <c r="S30">
        <v>0</v>
      </c>
      <c r="T30">
        <v>0</v>
      </c>
    </row>
    <row r="31" spans="1:20" x14ac:dyDescent="0.3">
      <c r="E31">
        <v>0</v>
      </c>
      <c r="F31">
        <v>0</v>
      </c>
      <c r="G31">
        <v>0</v>
      </c>
      <c r="H31">
        <v>0</v>
      </c>
      <c r="I31">
        <v>14</v>
      </c>
      <c r="J31">
        <v>12.5</v>
      </c>
      <c r="K31">
        <v>34137</v>
      </c>
      <c r="L31">
        <v>12.5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E32">
        <v>5237</v>
      </c>
      <c r="F32">
        <v>12.5</v>
      </c>
      <c r="G32">
        <v>0</v>
      </c>
      <c r="H32">
        <v>0</v>
      </c>
      <c r="I32">
        <v>0</v>
      </c>
      <c r="J32">
        <v>0</v>
      </c>
      <c r="K32">
        <v>935</v>
      </c>
      <c r="L32">
        <v>12.5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5:20" x14ac:dyDescent="0.3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1230</v>
      </c>
      <c r="R33">
        <v>12.5</v>
      </c>
      <c r="S33">
        <v>0</v>
      </c>
      <c r="T33">
        <v>0</v>
      </c>
    </row>
    <row r="34" spans="5:20" x14ac:dyDescent="0.3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506</v>
      </c>
      <c r="R34">
        <v>12.5</v>
      </c>
      <c r="S34">
        <v>388</v>
      </c>
      <c r="T34">
        <v>12.5</v>
      </c>
    </row>
  </sheetData>
  <mergeCells count="36">
    <mergeCell ref="E1:F1"/>
    <mergeCell ref="E2:F2"/>
    <mergeCell ref="E3:F3"/>
    <mergeCell ref="M3:N3"/>
    <mergeCell ref="G1:H1"/>
    <mergeCell ref="G2:H2"/>
    <mergeCell ref="G3:H3"/>
    <mergeCell ref="I1:J1"/>
    <mergeCell ref="I2:J2"/>
    <mergeCell ref="I3:J3"/>
    <mergeCell ref="S1:T1"/>
    <mergeCell ref="S2:T2"/>
    <mergeCell ref="S3:T3"/>
    <mergeCell ref="B1:B4"/>
    <mergeCell ref="C1:C4"/>
    <mergeCell ref="O1:P1"/>
    <mergeCell ref="O2:P2"/>
    <mergeCell ref="O3:P3"/>
    <mergeCell ref="Q1:R1"/>
    <mergeCell ref="Q2:R2"/>
    <mergeCell ref="Q3:R3"/>
    <mergeCell ref="K1:L1"/>
    <mergeCell ref="K2:L2"/>
    <mergeCell ref="K3:L3"/>
    <mergeCell ref="M1:N1"/>
    <mergeCell ref="M2:N2"/>
    <mergeCell ref="A1:A4"/>
    <mergeCell ref="B7:B9"/>
    <mergeCell ref="B5:B6"/>
    <mergeCell ref="B10:B11"/>
    <mergeCell ref="A10:A19"/>
    <mergeCell ref="A20:A21"/>
    <mergeCell ref="A22:A24"/>
    <mergeCell ref="C5:C6"/>
    <mergeCell ref="C8:C9"/>
    <mergeCell ref="A5:A9"/>
  </mergeCells>
  <conditionalFormatting sqref="E19 D19:D20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7F1-3F63-4267-9A62-FA2A7A361581}">
  <dimension ref="A1:AL24"/>
  <sheetViews>
    <sheetView topLeftCell="K1" zoomScale="70" zoomScaleNormal="70" workbookViewId="0">
      <selection activeCell="N5" activeCellId="1" sqref="W5:W12 N5:N12"/>
    </sheetView>
  </sheetViews>
  <sheetFormatPr baseColWidth="10" defaultRowHeight="14.4" x14ac:dyDescent="0.3"/>
  <sheetData>
    <row r="1" spans="1:38" x14ac:dyDescent="0.3">
      <c r="A1" s="25" t="s">
        <v>136</v>
      </c>
      <c r="B1" s="25" t="s">
        <v>115</v>
      </c>
      <c r="C1" s="25" t="s">
        <v>116</v>
      </c>
      <c r="D1" t="s">
        <v>105</v>
      </c>
      <c r="E1" s="14">
        <v>218</v>
      </c>
      <c r="F1" s="14">
        <v>212</v>
      </c>
      <c r="G1" s="14">
        <v>205</v>
      </c>
      <c r="H1" s="14">
        <v>198</v>
      </c>
      <c r="I1" s="14">
        <v>196</v>
      </c>
      <c r="J1" s="14">
        <v>192</v>
      </c>
      <c r="K1" s="14">
        <v>188</v>
      </c>
      <c r="L1" s="14">
        <v>182</v>
      </c>
      <c r="N1" s="25" t="s">
        <v>136</v>
      </c>
      <c r="O1" s="25"/>
      <c r="P1" s="25"/>
      <c r="Q1" s="25"/>
      <c r="R1" s="25" t="s">
        <v>137</v>
      </c>
      <c r="S1" s="25"/>
      <c r="T1" s="25"/>
      <c r="U1" s="25"/>
      <c r="V1" s="25"/>
      <c r="W1" s="14"/>
      <c r="X1" s="25" t="s">
        <v>144</v>
      </c>
      <c r="Y1" s="25"/>
      <c r="Z1" s="25"/>
      <c r="AA1" s="25"/>
      <c r="AB1" s="25"/>
      <c r="AC1" s="25"/>
      <c r="AD1" s="25"/>
      <c r="AE1" s="25"/>
      <c r="AF1" s="25"/>
      <c r="AG1" s="25"/>
      <c r="AH1" s="25" t="s">
        <v>163</v>
      </c>
      <c r="AI1" s="25"/>
      <c r="AJ1" s="25" t="s">
        <v>166</v>
      </c>
      <c r="AK1" s="25"/>
      <c r="AL1" s="25"/>
    </row>
    <row r="2" spans="1:38" x14ac:dyDescent="0.3">
      <c r="A2" s="25"/>
      <c r="B2" s="25"/>
      <c r="C2" s="25"/>
      <c r="D2" t="s">
        <v>112</v>
      </c>
      <c r="E2" s="14">
        <v>20715</v>
      </c>
      <c r="F2" s="14">
        <v>16647</v>
      </c>
      <c r="G2" s="14">
        <v>13008</v>
      </c>
      <c r="H2" s="14">
        <v>11630</v>
      </c>
      <c r="I2" s="14">
        <v>11400</v>
      </c>
      <c r="J2" s="14">
        <v>11127</v>
      </c>
      <c r="K2" s="14">
        <v>10889</v>
      </c>
      <c r="L2" s="14">
        <v>10513</v>
      </c>
      <c r="N2" s="25" t="s">
        <v>115</v>
      </c>
      <c r="O2" s="25"/>
      <c r="P2" s="25"/>
      <c r="Q2" s="25"/>
      <c r="R2" s="25" t="s">
        <v>128</v>
      </c>
      <c r="S2" s="25"/>
      <c r="T2" s="25" t="s">
        <v>138</v>
      </c>
      <c r="U2" s="25"/>
      <c r="V2" s="25"/>
      <c r="W2" s="14"/>
      <c r="X2" s="25" t="s">
        <v>145</v>
      </c>
      <c r="Y2" s="25"/>
      <c r="Z2" t="s">
        <v>146</v>
      </c>
      <c r="AA2" t="s">
        <v>147</v>
      </c>
      <c r="AB2" t="s">
        <v>148</v>
      </c>
      <c r="AC2" s="17" t="s">
        <v>149</v>
      </c>
      <c r="AD2" s="10" t="s">
        <v>150</v>
      </c>
      <c r="AE2" s="10" t="s">
        <v>151</v>
      </c>
      <c r="AF2" s="10" t="s">
        <v>152</v>
      </c>
      <c r="AG2" s="10" t="s">
        <v>153</v>
      </c>
      <c r="AH2" s="10" t="s">
        <v>164</v>
      </c>
      <c r="AI2" s="10" t="s">
        <v>165</v>
      </c>
      <c r="AJ2" s="10" t="s">
        <v>169</v>
      </c>
      <c r="AK2" s="10" t="s">
        <v>167</v>
      </c>
      <c r="AL2" s="10" t="s">
        <v>168</v>
      </c>
    </row>
    <row r="3" spans="1:38" x14ac:dyDescent="0.3">
      <c r="A3" s="25"/>
      <c r="B3" s="25"/>
      <c r="C3" s="25"/>
      <c r="D3" t="s">
        <v>135</v>
      </c>
      <c r="E3" s="14" t="s">
        <v>120</v>
      </c>
      <c r="F3" s="14" t="s">
        <v>121</v>
      </c>
      <c r="G3" s="14" t="s">
        <v>122</v>
      </c>
      <c r="H3" s="14" t="s">
        <v>123</v>
      </c>
      <c r="I3" s="14" t="s">
        <v>124</v>
      </c>
      <c r="J3" s="14" t="s">
        <v>125</v>
      </c>
      <c r="K3" s="14" t="s">
        <v>126</v>
      </c>
      <c r="L3" s="14" t="s">
        <v>127</v>
      </c>
      <c r="N3" s="25" t="s">
        <v>116</v>
      </c>
      <c r="O3" s="25"/>
      <c r="P3" s="25"/>
      <c r="Q3" s="25"/>
      <c r="R3" s="25" t="s">
        <v>129</v>
      </c>
      <c r="S3" s="25"/>
      <c r="T3" t="s">
        <v>139</v>
      </c>
      <c r="U3" s="25" t="s">
        <v>140</v>
      </c>
      <c r="V3" s="25"/>
      <c r="W3" s="14"/>
      <c r="X3" t="s">
        <v>141</v>
      </c>
      <c r="Y3" t="s">
        <v>154</v>
      </c>
      <c r="Z3" t="s">
        <v>141</v>
      </c>
      <c r="AA3" t="s">
        <v>156</v>
      </c>
      <c r="AB3" t="s">
        <v>158</v>
      </c>
      <c r="AC3" s="10" t="s">
        <v>160</v>
      </c>
      <c r="AD3" s="10" t="s">
        <v>141</v>
      </c>
      <c r="AE3" s="10" t="s">
        <v>141</v>
      </c>
      <c r="AF3" s="10" t="s">
        <v>162</v>
      </c>
      <c r="AG3" s="10"/>
      <c r="AH3" s="10" t="s">
        <v>141</v>
      </c>
      <c r="AI3" t="s">
        <v>171</v>
      </c>
      <c r="AJ3" t="s">
        <v>172</v>
      </c>
      <c r="AK3" t="s">
        <v>173</v>
      </c>
      <c r="AL3" t="s">
        <v>174</v>
      </c>
    </row>
    <row r="4" spans="1:38" x14ac:dyDescent="0.3">
      <c r="A4" s="25"/>
      <c r="B4" s="25"/>
      <c r="C4" s="25"/>
      <c r="D4" s="16" t="s">
        <v>117</v>
      </c>
      <c r="E4" t="s">
        <v>118</v>
      </c>
      <c r="F4" t="s">
        <v>118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N4" t="s">
        <v>105</v>
      </c>
      <c r="O4" t="s">
        <v>112</v>
      </c>
      <c r="P4" t="s">
        <v>135</v>
      </c>
      <c r="Q4" s="16" t="s">
        <v>117</v>
      </c>
      <c r="R4" t="s">
        <v>130</v>
      </c>
      <c r="S4" t="s">
        <v>134</v>
      </c>
      <c r="T4" t="s">
        <v>143</v>
      </c>
      <c r="U4" t="s">
        <v>142</v>
      </c>
      <c r="V4" t="s">
        <v>141</v>
      </c>
      <c r="X4" t="s">
        <v>141</v>
      </c>
      <c r="Y4" t="s">
        <v>155</v>
      </c>
      <c r="Z4" t="s">
        <v>141</v>
      </c>
      <c r="AA4" t="s">
        <v>157</v>
      </c>
      <c r="AB4" t="s">
        <v>159</v>
      </c>
      <c r="AC4" s="10" t="s">
        <v>161</v>
      </c>
      <c r="AD4" s="10" t="s">
        <v>141</v>
      </c>
      <c r="AE4" s="10" t="s">
        <v>141</v>
      </c>
      <c r="AF4" s="10" t="s">
        <v>141</v>
      </c>
      <c r="AG4" s="10"/>
      <c r="AH4" s="10" t="s">
        <v>141</v>
      </c>
      <c r="AI4" t="s">
        <v>170</v>
      </c>
      <c r="AJ4" t="s">
        <v>141</v>
      </c>
      <c r="AK4" t="s">
        <v>141</v>
      </c>
      <c r="AL4" t="s">
        <v>141</v>
      </c>
    </row>
    <row r="5" spans="1:38" x14ac:dyDescent="0.3">
      <c r="A5" s="25" t="s">
        <v>137</v>
      </c>
      <c r="B5" s="25" t="s">
        <v>128</v>
      </c>
      <c r="C5" s="25" t="s">
        <v>129</v>
      </c>
      <c r="D5" t="s">
        <v>130</v>
      </c>
      <c r="E5">
        <v>370367</v>
      </c>
      <c r="F5">
        <v>49058</v>
      </c>
      <c r="G5">
        <v>158037</v>
      </c>
      <c r="H5">
        <v>153463</v>
      </c>
      <c r="I5">
        <v>149218</v>
      </c>
      <c r="J5">
        <v>691314</v>
      </c>
      <c r="K5">
        <v>99819</v>
      </c>
      <c r="L5">
        <v>21596</v>
      </c>
      <c r="N5" s="14">
        <v>218</v>
      </c>
      <c r="O5" s="14">
        <v>20715</v>
      </c>
      <c r="P5" s="14" t="s">
        <v>120</v>
      </c>
      <c r="Q5" t="s">
        <v>118</v>
      </c>
      <c r="R5">
        <v>370367</v>
      </c>
      <c r="S5">
        <v>10802</v>
      </c>
      <c r="T5">
        <v>403</v>
      </c>
      <c r="U5">
        <v>246</v>
      </c>
      <c r="V5">
        <v>816</v>
      </c>
      <c r="W5">
        <f>SUM(X5:AG5)</f>
        <v>106242</v>
      </c>
      <c r="Z5">
        <v>53748</v>
      </c>
      <c r="AA5">
        <v>34658</v>
      </c>
      <c r="AB5">
        <v>12599</v>
      </c>
      <c r="AC5" s="10"/>
      <c r="AD5" s="10"/>
      <c r="AE5" s="10">
        <v>5237</v>
      </c>
      <c r="AF5" s="10"/>
      <c r="AG5" s="10"/>
      <c r="AJ5">
        <v>15053</v>
      </c>
    </row>
    <row r="6" spans="1:38" x14ac:dyDescent="0.3">
      <c r="A6" s="25"/>
      <c r="B6" s="25"/>
      <c r="C6" s="25"/>
      <c r="D6" t="s">
        <v>134</v>
      </c>
      <c r="E6">
        <v>10802</v>
      </c>
      <c r="F6">
        <v>425</v>
      </c>
      <c r="G6">
        <v>2206</v>
      </c>
      <c r="H6">
        <v>1298</v>
      </c>
      <c r="I6">
        <v>418</v>
      </c>
      <c r="J6">
        <v>925</v>
      </c>
      <c r="K6">
        <v>6</v>
      </c>
      <c r="L6">
        <v>12132</v>
      </c>
      <c r="N6" s="14">
        <v>212</v>
      </c>
      <c r="O6" s="14">
        <v>16647</v>
      </c>
      <c r="P6" s="14" t="s">
        <v>121</v>
      </c>
      <c r="Q6" t="s">
        <v>118</v>
      </c>
      <c r="R6">
        <v>49058</v>
      </c>
      <c r="S6">
        <v>425</v>
      </c>
      <c r="T6">
        <v>682</v>
      </c>
      <c r="U6">
        <v>17</v>
      </c>
      <c r="V6">
        <v>115</v>
      </c>
      <c r="W6">
        <f t="shared" ref="W6:W12" si="0">SUM(X6:AG6)</f>
        <v>3321</v>
      </c>
      <c r="Y6">
        <v>282</v>
      </c>
      <c r="AA6">
        <v>734</v>
      </c>
      <c r="AB6">
        <v>2305</v>
      </c>
      <c r="AC6" s="10"/>
    </row>
    <row r="7" spans="1:38" x14ac:dyDescent="0.3">
      <c r="A7" s="25"/>
      <c r="B7" s="25" t="s">
        <v>138</v>
      </c>
      <c r="C7" t="s">
        <v>139</v>
      </c>
      <c r="D7" t="s">
        <v>143</v>
      </c>
      <c r="E7">
        <v>403</v>
      </c>
      <c r="F7">
        <v>682</v>
      </c>
      <c r="G7">
        <v>662</v>
      </c>
      <c r="H7">
        <v>464</v>
      </c>
      <c r="J7">
        <v>952</v>
      </c>
      <c r="K7">
        <v>881</v>
      </c>
      <c r="L7">
        <v>123</v>
      </c>
      <c r="N7" s="14">
        <v>205</v>
      </c>
      <c r="O7" s="14">
        <v>13008</v>
      </c>
      <c r="P7" s="14" t="s">
        <v>122</v>
      </c>
      <c r="Q7" t="s">
        <v>118</v>
      </c>
      <c r="R7">
        <v>158037</v>
      </c>
      <c r="S7">
        <v>2206</v>
      </c>
      <c r="T7">
        <v>662</v>
      </c>
      <c r="U7">
        <v>236</v>
      </c>
      <c r="W7">
        <f t="shared" si="0"/>
        <v>3817</v>
      </c>
      <c r="X7">
        <v>56</v>
      </c>
      <c r="Z7">
        <v>429</v>
      </c>
      <c r="AA7">
        <v>512</v>
      </c>
      <c r="AB7">
        <v>2806</v>
      </c>
      <c r="AC7" s="10"/>
      <c r="AD7" s="10">
        <v>14</v>
      </c>
      <c r="AH7">
        <v>477</v>
      </c>
    </row>
    <row r="8" spans="1:38" x14ac:dyDescent="0.3">
      <c r="A8" s="25"/>
      <c r="B8" s="25"/>
      <c r="C8" s="25" t="s">
        <v>140</v>
      </c>
      <c r="D8" t="s">
        <v>142</v>
      </c>
      <c r="E8">
        <v>246</v>
      </c>
      <c r="F8">
        <v>17</v>
      </c>
      <c r="G8">
        <v>236</v>
      </c>
      <c r="K8">
        <v>370</v>
      </c>
      <c r="L8">
        <v>571</v>
      </c>
      <c r="N8" s="14">
        <v>198</v>
      </c>
      <c r="O8" s="14">
        <v>11630</v>
      </c>
      <c r="P8" s="14" t="s">
        <v>123</v>
      </c>
      <c r="Q8" t="s">
        <v>118</v>
      </c>
      <c r="R8">
        <v>153463</v>
      </c>
      <c r="S8">
        <v>1298</v>
      </c>
      <c r="T8">
        <v>464</v>
      </c>
      <c r="V8">
        <v>411</v>
      </c>
      <c r="W8">
        <f t="shared" si="0"/>
        <v>38466</v>
      </c>
      <c r="Z8">
        <v>3237</v>
      </c>
      <c r="AC8" s="10">
        <v>157</v>
      </c>
      <c r="AD8">
        <v>34137</v>
      </c>
      <c r="AE8">
        <v>935</v>
      </c>
      <c r="AK8">
        <v>14499</v>
      </c>
    </row>
    <row r="9" spans="1:38" x14ac:dyDescent="0.3">
      <c r="A9" s="25"/>
      <c r="B9" s="25"/>
      <c r="C9" s="25"/>
      <c r="D9" t="s">
        <v>141</v>
      </c>
      <c r="E9">
        <v>816</v>
      </c>
      <c r="F9">
        <v>115</v>
      </c>
      <c r="H9">
        <v>411</v>
      </c>
      <c r="I9">
        <v>155</v>
      </c>
      <c r="K9">
        <v>160</v>
      </c>
      <c r="N9" s="14">
        <v>196</v>
      </c>
      <c r="O9" s="14">
        <v>11400</v>
      </c>
      <c r="P9" s="14" t="s">
        <v>124</v>
      </c>
      <c r="Q9" t="s">
        <v>118</v>
      </c>
      <c r="R9">
        <v>149218</v>
      </c>
      <c r="S9">
        <v>418</v>
      </c>
      <c r="V9">
        <v>155</v>
      </c>
      <c r="W9">
        <f t="shared" si="0"/>
        <v>13789</v>
      </c>
      <c r="X9">
        <v>1996</v>
      </c>
      <c r="Z9">
        <v>8192</v>
      </c>
      <c r="AA9">
        <v>1227</v>
      </c>
      <c r="AB9">
        <v>2374</v>
      </c>
      <c r="AC9" s="10"/>
      <c r="AH9">
        <v>465</v>
      </c>
    </row>
    <row r="10" spans="1:38" x14ac:dyDescent="0.3">
      <c r="A10" s="25" t="s">
        <v>144</v>
      </c>
      <c r="B10" s="25" t="s">
        <v>145</v>
      </c>
      <c r="C10" t="s">
        <v>141</v>
      </c>
      <c r="D10" t="s">
        <v>141</v>
      </c>
      <c r="G10">
        <v>56</v>
      </c>
      <c r="I10">
        <v>1996</v>
      </c>
      <c r="J10">
        <v>5331</v>
      </c>
      <c r="K10">
        <v>10253</v>
      </c>
      <c r="L10">
        <v>18307</v>
      </c>
      <c r="N10" s="14">
        <v>192</v>
      </c>
      <c r="O10" s="14">
        <v>11127</v>
      </c>
      <c r="P10" s="14" t="s">
        <v>125</v>
      </c>
      <c r="Q10" t="s">
        <v>118</v>
      </c>
      <c r="R10">
        <v>691314</v>
      </c>
      <c r="S10">
        <v>925</v>
      </c>
      <c r="T10">
        <v>952</v>
      </c>
      <c r="W10">
        <f t="shared" si="0"/>
        <v>49886</v>
      </c>
      <c r="X10">
        <v>5331</v>
      </c>
      <c r="Z10">
        <v>39695</v>
      </c>
      <c r="AC10" s="10">
        <v>4860</v>
      </c>
    </row>
    <row r="11" spans="1:38" x14ac:dyDescent="0.3">
      <c r="A11" s="25"/>
      <c r="B11" s="25"/>
      <c r="C11" t="s">
        <v>154</v>
      </c>
      <c r="D11" t="s">
        <v>155</v>
      </c>
      <c r="F11">
        <v>282</v>
      </c>
      <c r="N11" s="14">
        <v>188</v>
      </c>
      <c r="O11" s="14">
        <v>10889</v>
      </c>
      <c r="P11" s="14" t="s">
        <v>126</v>
      </c>
      <c r="Q11" t="s">
        <v>118</v>
      </c>
      <c r="R11">
        <v>99819</v>
      </c>
      <c r="S11">
        <v>6</v>
      </c>
      <c r="T11">
        <v>881</v>
      </c>
      <c r="U11">
        <v>370</v>
      </c>
      <c r="V11">
        <v>160</v>
      </c>
      <c r="W11">
        <f t="shared" si="0"/>
        <v>13573</v>
      </c>
      <c r="X11">
        <v>10253</v>
      </c>
      <c r="Z11">
        <v>255</v>
      </c>
      <c r="AA11">
        <v>1326</v>
      </c>
      <c r="AC11" s="10">
        <v>3</v>
      </c>
      <c r="AF11">
        <v>1230</v>
      </c>
      <c r="AG11">
        <v>506</v>
      </c>
      <c r="AH11">
        <v>819</v>
      </c>
      <c r="AI11">
        <v>4</v>
      </c>
    </row>
    <row r="12" spans="1:38" x14ac:dyDescent="0.3">
      <c r="A12" s="25"/>
      <c r="B12" t="s">
        <v>146</v>
      </c>
      <c r="C12" t="s">
        <v>141</v>
      </c>
      <c r="D12" t="s">
        <v>141</v>
      </c>
      <c r="E12">
        <v>53748</v>
      </c>
      <c r="G12">
        <v>429</v>
      </c>
      <c r="H12">
        <v>3237</v>
      </c>
      <c r="I12">
        <v>8192</v>
      </c>
      <c r="J12">
        <v>39695</v>
      </c>
      <c r="K12">
        <v>255</v>
      </c>
      <c r="N12" s="14">
        <v>182</v>
      </c>
      <c r="O12" s="14">
        <v>10513</v>
      </c>
      <c r="P12" s="14" t="s">
        <v>127</v>
      </c>
      <c r="Q12" t="s">
        <v>118</v>
      </c>
      <c r="R12">
        <v>21596</v>
      </c>
      <c r="S12">
        <v>12132</v>
      </c>
      <c r="T12">
        <v>123</v>
      </c>
      <c r="U12">
        <v>571</v>
      </c>
      <c r="W12">
        <f t="shared" si="0"/>
        <v>19342</v>
      </c>
      <c r="X12">
        <v>18307</v>
      </c>
      <c r="AA12">
        <v>81</v>
      </c>
      <c r="AB12">
        <v>566</v>
      </c>
      <c r="AC12" s="10"/>
      <c r="AG12">
        <v>388</v>
      </c>
      <c r="AL12">
        <v>3049</v>
      </c>
    </row>
    <row r="13" spans="1:38" x14ac:dyDescent="0.3">
      <c r="A13" s="25"/>
      <c r="B13" t="s">
        <v>147</v>
      </c>
      <c r="C13" t="s">
        <v>156</v>
      </c>
      <c r="D13" t="s">
        <v>157</v>
      </c>
      <c r="E13">
        <v>34658</v>
      </c>
      <c r="F13">
        <v>734</v>
      </c>
      <c r="G13">
        <v>512</v>
      </c>
      <c r="I13">
        <v>1227</v>
      </c>
      <c r="K13">
        <v>1326</v>
      </c>
      <c r="L13">
        <v>81</v>
      </c>
    </row>
    <row r="14" spans="1:38" x14ac:dyDescent="0.3">
      <c r="A14" s="25"/>
      <c r="B14" t="s">
        <v>148</v>
      </c>
      <c r="C14" t="s">
        <v>158</v>
      </c>
      <c r="D14" t="s">
        <v>159</v>
      </c>
      <c r="E14">
        <v>12599</v>
      </c>
      <c r="F14">
        <v>2305</v>
      </c>
      <c r="G14">
        <v>2806</v>
      </c>
      <c r="I14">
        <v>2374</v>
      </c>
      <c r="L14">
        <v>566</v>
      </c>
    </row>
    <row r="15" spans="1:38" x14ac:dyDescent="0.3">
      <c r="A15" s="25"/>
      <c r="B15" s="17" t="s">
        <v>149</v>
      </c>
      <c r="C15" s="10" t="s">
        <v>160</v>
      </c>
      <c r="D15" s="10" t="s">
        <v>161</v>
      </c>
      <c r="E15" s="10"/>
      <c r="F15" s="10"/>
      <c r="G15" s="10"/>
      <c r="H15" s="10">
        <v>157</v>
      </c>
      <c r="I15" s="10"/>
      <c r="J15" s="10">
        <v>4860</v>
      </c>
      <c r="K15" s="10">
        <v>3</v>
      </c>
      <c r="L15" s="10"/>
    </row>
    <row r="16" spans="1:38" x14ac:dyDescent="0.3">
      <c r="A16" s="25"/>
      <c r="B16" s="10" t="s">
        <v>150</v>
      </c>
      <c r="C16" s="10" t="s">
        <v>141</v>
      </c>
      <c r="D16" s="10" t="s">
        <v>141</v>
      </c>
      <c r="E16" s="10"/>
      <c r="G16" s="10">
        <v>14</v>
      </c>
      <c r="H16">
        <v>34137</v>
      </c>
    </row>
    <row r="17" spans="1:12" x14ac:dyDescent="0.3">
      <c r="A17" s="25"/>
      <c r="B17" s="10" t="s">
        <v>151</v>
      </c>
      <c r="C17" s="10" t="s">
        <v>141</v>
      </c>
      <c r="D17" s="10" t="s">
        <v>141</v>
      </c>
      <c r="E17" s="10">
        <v>5237</v>
      </c>
      <c r="H17">
        <v>935</v>
      </c>
    </row>
    <row r="18" spans="1:12" x14ac:dyDescent="0.3">
      <c r="A18" s="25"/>
      <c r="B18" s="10" t="s">
        <v>152</v>
      </c>
      <c r="C18" s="10" t="s">
        <v>162</v>
      </c>
      <c r="D18" s="10" t="s">
        <v>141</v>
      </c>
      <c r="E18" s="10"/>
      <c r="K18">
        <v>1230</v>
      </c>
    </row>
    <row r="19" spans="1:12" x14ac:dyDescent="0.3">
      <c r="A19" s="25"/>
      <c r="B19" s="10" t="s">
        <v>153</v>
      </c>
      <c r="C19" s="10"/>
      <c r="D19" s="10"/>
      <c r="E19" s="10"/>
      <c r="K19">
        <v>506</v>
      </c>
      <c r="L19">
        <v>388</v>
      </c>
    </row>
    <row r="20" spans="1:12" x14ac:dyDescent="0.3">
      <c r="A20" s="25" t="s">
        <v>163</v>
      </c>
      <c r="B20" s="10" t="s">
        <v>164</v>
      </c>
      <c r="C20" s="10" t="s">
        <v>141</v>
      </c>
      <c r="D20" s="10" t="s">
        <v>141</v>
      </c>
      <c r="G20">
        <v>477</v>
      </c>
      <c r="I20">
        <v>465</v>
      </c>
      <c r="K20">
        <v>819</v>
      </c>
    </row>
    <row r="21" spans="1:12" x14ac:dyDescent="0.3">
      <c r="A21" s="25"/>
      <c r="B21" s="10" t="s">
        <v>165</v>
      </c>
      <c r="C21" t="s">
        <v>171</v>
      </c>
      <c r="D21" t="s">
        <v>170</v>
      </c>
      <c r="K21">
        <v>4</v>
      </c>
    </row>
    <row r="22" spans="1:12" x14ac:dyDescent="0.3">
      <c r="A22" s="25" t="s">
        <v>166</v>
      </c>
      <c r="B22" s="10" t="s">
        <v>169</v>
      </c>
      <c r="C22" t="s">
        <v>172</v>
      </c>
      <c r="D22" t="s">
        <v>141</v>
      </c>
      <c r="E22">
        <v>15053</v>
      </c>
    </row>
    <row r="23" spans="1:12" x14ac:dyDescent="0.3">
      <c r="A23" s="25"/>
      <c r="B23" s="10" t="s">
        <v>167</v>
      </c>
      <c r="C23" t="s">
        <v>173</v>
      </c>
      <c r="D23" t="s">
        <v>141</v>
      </c>
      <c r="H23">
        <v>14499</v>
      </c>
    </row>
    <row r="24" spans="1:12" x14ac:dyDescent="0.3">
      <c r="A24" s="25"/>
      <c r="B24" s="10" t="s">
        <v>168</v>
      </c>
      <c r="C24" t="s">
        <v>174</v>
      </c>
      <c r="D24" t="s">
        <v>141</v>
      </c>
      <c r="L24">
        <v>3049</v>
      </c>
    </row>
  </sheetData>
  <mergeCells count="24">
    <mergeCell ref="R3:S3"/>
    <mergeCell ref="U3:V3"/>
    <mergeCell ref="A5:A9"/>
    <mergeCell ref="B5:B6"/>
    <mergeCell ref="C5:C6"/>
    <mergeCell ref="B7:B9"/>
    <mergeCell ref="C8:C9"/>
    <mergeCell ref="A1:A4"/>
    <mergeCell ref="B1:B4"/>
    <mergeCell ref="C1:C4"/>
    <mergeCell ref="A10:A19"/>
    <mergeCell ref="B10:B11"/>
    <mergeCell ref="A20:A21"/>
    <mergeCell ref="A22:A24"/>
    <mergeCell ref="N1:Q1"/>
    <mergeCell ref="N3:Q3"/>
    <mergeCell ref="X1:AG1"/>
    <mergeCell ref="AH1:AI1"/>
    <mergeCell ref="AJ1:AL1"/>
    <mergeCell ref="N2:Q2"/>
    <mergeCell ref="R2:S2"/>
    <mergeCell ref="T2:V2"/>
    <mergeCell ref="X2:Y2"/>
    <mergeCell ref="R1:V1"/>
  </mergeCells>
  <conditionalFormatting sqref="D19:E19 D20">
    <cfRule type="duplicateValues" dxfId="5" priority="2"/>
  </conditionalFormatting>
  <conditionalFormatting sqref="AG4:AG5 AH4">
    <cfRule type="duplicateValues" dxfId="4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9525-9E8F-4288-8131-561FEC27FE84}">
  <dimension ref="A1:H28"/>
  <sheetViews>
    <sheetView workbookViewId="0">
      <selection sqref="A1:H28"/>
    </sheetView>
  </sheetViews>
  <sheetFormatPr baseColWidth="10" defaultRowHeight="14.4" x14ac:dyDescent="0.3"/>
  <sheetData>
    <row r="1" spans="1:8" x14ac:dyDescent="0.3">
      <c r="A1" s="11" t="s">
        <v>96</v>
      </c>
      <c r="B1" s="12" t="s">
        <v>78</v>
      </c>
      <c r="C1" s="12" t="s">
        <v>80</v>
      </c>
      <c r="D1" s="12" t="s">
        <v>82</v>
      </c>
      <c r="E1" s="12" t="s">
        <v>84</v>
      </c>
      <c r="F1" s="12" t="s">
        <v>86</v>
      </c>
      <c r="G1" s="12" t="s">
        <v>88</v>
      </c>
      <c r="H1" s="12" t="s">
        <v>90</v>
      </c>
    </row>
    <row r="2" spans="1:8" x14ac:dyDescent="0.3">
      <c r="A2">
        <v>24774</v>
      </c>
      <c r="B2" s="11">
        <v>-32.706911862573108</v>
      </c>
      <c r="C2" s="11">
        <v>-31.26013397320628</v>
      </c>
      <c r="D2" s="11">
        <v>-31.207487041152262</v>
      </c>
      <c r="E2" s="11">
        <v>-31.077016631381291</v>
      </c>
      <c r="F2" s="11">
        <v>-32.019327287663913</v>
      </c>
      <c r="G2" s="11">
        <v>-33.21556357910471</v>
      </c>
      <c r="H2" s="11">
        <v>-34.390846212321101</v>
      </c>
    </row>
    <row r="3" spans="1:8" x14ac:dyDescent="0.3">
      <c r="A3">
        <v>24185</v>
      </c>
      <c r="B3" s="11"/>
      <c r="C3" s="11"/>
      <c r="D3" s="11"/>
      <c r="E3" s="11"/>
      <c r="F3" s="11"/>
      <c r="G3" s="11"/>
      <c r="H3" s="11"/>
    </row>
    <row r="4" spans="1:8" x14ac:dyDescent="0.3">
      <c r="A4">
        <v>23595</v>
      </c>
      <c r="B4" s="11"/>
      <c r="C4" s="11"/>
      <c r="D4" s="11"/>
      <c r="E4" s="11"/>
      <c r="F4" s="11"/>
      <c r="G4" s="11"/>
      <c r="H4" s="11"/>
    </row>
    <row r="5" spans="1:8" x14ac:dyDescent="0.3">
      <c r="A5">
        <v>22433</v>
      </c>
      <c r="B5" s="11">
        <v>-33.431397267846108</v>
      </c>
      <c r="C5" s="11">
        <v>-31.388693674095929</v>
      </c>
      <c r="D5" s="11">
        <v>-31.248658257509422</v>
      </c>
      <c r="E5" s="11">
        <v>-31.871337630749004</v>
      </c>
      <c r="F5" s="11">
        <v>-32.329409465784259</v>
      </c>
      <c r="G5" s="11">
        <v>-33.971292892031272</v>
      </c>
      <c r="H5" s="11">
        <v>-34.390425893891972</v>
      </c>
    </row>
    <row r="6" spans="1:8" x14ac:dyDescent="0.3">
      <c r="A6">
        <v>20715</v>
      </c>
      <c r="B6" s="11"/>
      <c r="C6" s="11"/>
      <c r="D6" s="11"/>
      <c r="E6" s="11"/>
      <c r="F6" s="11"/>
      <c r="G6" s="11"/>
      <c r="H6" s="11"/>
    </row>
    <row r="7" spans="1:8" x14ac:dyDescent="0.3">
      <c r="A7">
        <v>18744</v>
      </c>
      <c r="B7" s="11">
        <v>-44.651250502012388</v>
      </c>
      <c r="C7" s="11">
        <v>-31.569093032030693</v>
      </c>
      <c r="D7" s="11">
        <v>-31.708986431473846</v>
      </c>
      <c r="E7" s="11">
        <v>-31.742947529982452</v>
      </c>
      <c r="F7" s="11">
        <v>-31.981715048974287</v>
      </c>
      <c r="G7" s="11">
        <v>-32.911291515861294</v>
      </c>
      <c r="H7" s="11"/>
    </row>
    <row r="8" spans="1:8" x14ac:dyDescent="0.3">
      <c r="A8">
        <v>17346</v>
      </c>
      <c r="B8" s="11">
        <v>-34.731390203759915</v>
      </c>
      <c r="C8" s="11">
        <v>-31.996203709878035</v>
      </c>
      <c r="D8" s="11">
        <v>-30.621514039592121</v>
      </c>
      <c r="E8" s="11">
        <v>-30.363942639824053</v>
      </c>
      <c r="F8" s="11">
        <v>-31.119884043298946</v>
      </c>
      <c r="G8" s="11">
        <v>-32.368908628927564</v>
      </c>
      <c r="H8" s="11">
        <v>-33.673026915285249</v>
      </c>
    </row>
    <row r="9" spans="1:8" x14ac:dyDescent="0.3">
      <c r="A9">
        <v>16647</v>
      </c>
      <c r="B9" s="11">
        <v>-44.955510154329026</v>
      </c>
      <c r="C9" s="11">
        <v>-31.444492809572061</v>
      </c>
      <c r="D9" s="11">
        <v>-32.061995314824564</v>
      </c>
      <c r="E9" s="11">
        <v>-31.901820753991231</v>
      </c>
      <c r="F9" s="11">
        <v>-32.037925106361087</v>
      </c>
      <c r="G9" s="11">
        <v>-33.497223311937276</v>
      </c>
      <c r="H9" s="11">
        <v>-34.545938168267156</v>
      </c>
    </row>
    <row r="10" spans="1:8" x14ac:dyDescent="0.3">
      <c r="A10">
        <v>15386</v>
      </c>
      <c r="B10" s="11">
        <v>-34.637969036890681</v>
      </c>
      <c r="C10" s="11">
        <v>-31.269435097057737</v>
      </c>
      <c r="D10" s="11">
        <v>-31.369312072870613</v>
      </c>
      <c r="E10" s="11">
        <v>-31.005477054243819</v>
      </c>
      <c r="F10" s="11">
        <v>-32.967670215835255</v>
      </c>
      <c r="G10" s="11">
        <v>-33.5220613985379</v>
      </c>
      <c r="H10" s="11">
        <v>-33.985153092577136</v>
      </c>
    </row>
    <row r="11" spans="1:8" x14ac:dyDescent="0.3">
      <c r="A11">
        <v>13494</v>
      </c>
      <c r="B11" s="11">
        <v>-32.566321601907816</v>
      </c>
      <c r="C11" s="11">
        <v>-31.482436317158871</v>
      </c>
      <c r="D11" s="11">
        <v>-32.095987187135222</v>
      </c>
      <c r="E11" s="11">
        <v>-31.97926257805311</v>
      </c>
      <c r="F11" s="11">
        <v>-32.970252162108522</v>
      </c>
      <c r="G11" s="11">
        <v>-33.581778951685813</v>
      </c>
      <c r="H11" s="11">
        <v>-34.292278013853206</v>
      </c>
    </row>
    <row r="12" spans="1:8" x14ac:dyDescent="0.3">
      <c r="A12">
        <v>13008</v>
      </c>
      <c r="B12" s="11">
        <v>-35.048638839016881</v>
      </c>
      <c r="C12" s="11">
        <v>-31.962176990957282</v>
      </c>
      <c r="D12" s="11">
        <v>-32.201468148512589</v>
      </c>
      <c r="E12" s="11">
        <v>-31.780696535368087</v>
      </c>
      <c r="F12" s="11">
        <v>-31.911838331020526</v>
      </c>
      <c r="G12" s="11">
        <v>-32.867919237665774</v>
      </c>
      <c r="H12" s="11">
        <v>-33.737794865633091</v>
      </c>
    </row>
    <row r="13" spans="1:8" x14ac:dyDescent="0.3">
      <c r="A13">
        <v>12521</v>
      </c>
      <c r="B13" s="11">
        <v>-36.240149125703795</v>
      </c>
      <c r="C13" s="11">
        <v>-31.268062630522635</v>
      </c>
      <c r="D13" s="11">
        <v>-31.980162387418837</v>
      </c>
      <c r="E13" s="11">
        <v>-30.580088175230856</v>
      </c>
      <c r="F13" s="11">
        <v>-32.028198237130539</v>
      </c>
      <c r="G13" s="11">
        <v>-33.061947546417926</v>
      </c>
      <c r="H13" s="11">
        <v>-34.846213701367319</v>
      </c>
    </row>
    <row r="14" spans="1:8" x14ac:dyDescent="0.3">
      <c r="A14">
        <v>11954</v>
      </c>
      <c r="B14" s="11"/>
      <c r="C14" s="11"/>
      <c r="D14" s="11"/>
      <c r="E14" s="11"/>
      <c r="F14" s="11"/>
      <c r="G14" s="11"/>
      <c r="H14" s="11"/>
    </row>
    <row r="15" spans="1:8" x14ac:dyDescent="0.3">
      <c r="A15">
        <v>11792</v>
      </c>
      <c r="B15" s="11">
        <v>-33.295030512240196</v>
      </c>
      <c r="C15" s="11">
        <v>-31.771838980726255</v>
      </c>
      <c r="D15" s="11">
        <v>-33.172372903746989</v>
      </c>
      <c r="E15" s="11">
        <v>-32.494412687152277</v>
      </c>
      <c r="F15" s="11">
        <v>-31.608384589859188</v>
      </c>
      <c r="G15" s="11">
        <v>-33.154116283236995</v>
      </c>
      <c r="H15" s="11">
        <v>-34.667459665936903</v>
      </c>
    </row>
    <row r="16" spans="1:8" x14ac:dyDescent="0.3">
      <c r="A16">
        <v>11630</v>
      </c>
      <c r="B16" s="4"/>
      <c r="C16" s="4">
        <v>-33.484353698616687</v>
      </c>
      <c r="D16" s="4">
        <v>-31.212168441662794</v>
      </c>
      <c r="E16" s="4">
        <v>-32.044840126675865</v>
      </c>
      <c r="F16" s="4">
        <v>-32.131117909359951</v>
      </c>
      <c r="G16" s="4">
        <v>-36.103669581648504</v>
      </c>
      <c r="H16" s="4">
        <v>-38.856613577929437</v>
      </c>
    </row>
    <row r="17" spans="1:8" x14ac:dyDescent="0.3">
      <c r="A17">
        <v>11468</v>
      </c>
      <c r="B17" s="11">
        <v>-33.927605230952231</v>
      </c>
      <c r="C17" s="11">
        <v>-32.778436953664666</v>
      </c>
      <c r="D17" s="11">
        <v>-32.2909392597928</v>
      </c>
      <c r="E17" s="11">
        <v>-31.943738556246927</v>
      </c>
      <c r="F17" s="11">
        <v>-31.654380456120577</v>
      </c>
      <c r="G17" s="11">
        <v>-32.590461824164166</v>
      </c>
      <c r="H17" s="11">
        <v>-33.975273528370693</v>
      </c>
    </row>
    <row r="18" spans="1:8" x14ac:dyDescent="0.3">
      <c r="A18">
        <v>11400</v>
      </c>
      <c r="B18" s="11"/>
      <c r="C18" s="11"/>
      <c r="D18" s="11"/>
      <c r="E18" s="11"/>
      <c r="F18" s="11"/>
      <c r="G18" s="11"/>
      <c r="H18" s="11"/>
    </row>
    <row r="19" spans="1:8" x14ac:dyDescent="0.3">
      <c r="A19">
        <v>11332</v>
      </c>
      <c r="B19" s="11">
        <v>-31.910581804794955</v>
      </c>
      <c r="C19" s="11">
        <v>-32.323876339139872</v>
      </c>
      <c r="D19" s="11">
        <v>-32.301043413217684</v>
      </c>
      <c r="E19" s="11">
        <v>-32.388437272475294</v>
      </c>
      <c r="F19" s="11">
        <v>-32.005900691402751</v>
      </c>
      <c r="G19" s="11">
        <v>-32.894704613757881</v>
      </c>
      <c r="H19" s="11">
        <v>-34.495094552208933</v>
      </c>
    </row>
    <row r="20" spans="1:8" x14ac:dyDescent="0.3">
      <c r="A20">
        <v>11196</v>
      </c>
      <c r="B20" s="11">
        <v>-26.261892893316947</v>
      </c>
      <c r="C20" s="11">
        <v>-29.124229901711587</v>
      </c>
      <c r="D20" s="11">
        <v>-30.045007169994939</v>
      </c>
      <c r="E20" s="11">
        <v>-31.396455872043628</v>
      </c>
      <c r="F20" s="11">
        <v>-31.02919366994654</v>
      </c>
      <c r="G20" s="11">
        <v>-32.607939767123199</v>
      </c>
      <c r="H20" s="11">
        <v>-34.79715649655229</v>
      </c>
    </row>
    <row r="21" spans="1:8" x14ac:dyDescent="0.3">
      <c r="A21">
        <v>11127</v>
      </c>
      <c r="B21" s="11">
        <v>-33.364149837477498</v>
      </c>
      <c r="C21" s="11">
        <v>-32.071060755952907</v>
      </c>
      <c r="D21" s="11">
        <v>-32.06181567757006</v>
      </c>
      <c r="E21" s="11">
        <v>-32.491043095722205</v>
      </c>
      <c r="F21" s="11">
        <v>-32.017638842782894</v>
      </c>
      <c r="G21" s="11">
        <v>-33.090553223822674</v>
      </c>
      <c r="H21" s="11">
        <v>-34.603446776641803</v>
      </c>
    </row>
    <row r="22" spans="1:8" x14ac:dyDescent="0.3">
      <c r="A22">
        <v>11068</v>
      </c>
      <c r="B22" s="11">
        <v>-29.674679888761702</v>
      </c>
      <c r="C22" s="11">
        <v>-32.11477572990924</v>
      </c>
      <c r="D22" s="11">
        <v>-32.169826266501168</v>
      </c>
      <c r="E22" s="11">
        <v>-32.220395498526429</v>
      </c>
      <c r="F22" s="11">
        <v>-31.712834819988238</v>
      </c>
      <c r="G22" s="11">
        <v>-32.831529593890778</v>
      </c>
      <c r="H22" s="11">
        <v>-34.631536420342137</v>
      </c>
    </row>
    <row r="23" spans="1:8" x14ac:dyDescent="0.3">
      <c r="A23">
        <v>10948</v>
      </c>
      <c r="B23" s="11">
        <v>-30.909694765695697</v>
      </c>
      <c r="C23" s="11">
        <v>-31.416839535100749</v>
      </c>
      <c r="D23" s="11">
        <v>-31.661747779247374</v>
      </c>
      <c r="E23" s="11">
        <v>-32.040047504276814</v>
      </c>
      <c r="F23" s="11">
        <v>-31.318650272537269</v>
      </c>
      <c r="G23" s="11">
        <v>-32.04796200057109</v>
      </c>
      <c r="H23" s="11">
        <v>-33.726009413626485</v>
      </c>
    </row>
    <row r="24" spans="1:8" x14ac:dyDescent="0.3">
      <c r="A24">
        <v>10889</v>
      </c>
      <c r="B24" s="11">
        <v>-30.139031498989421</v>
      </c>
      <c r="C24" s="11">
        <v>-29.344982160508422</v>
      </c>
      <c r="D24" s="11">
        <v>-31.359470725595244</v>
      </c>
      <c r="E24" s="11">
        <v>-31.548306801589796</v>
      </c>
      <c r="F24" s="11">
        <v>-30.884623816179918</v>
      </c>
      <c r="G24" s="11">
        <v>-31.775916223565133</v>
      </c>
      <c r="H24" s="11">
        <v>-32.875739110267233</v>
      </c>
    </row>
    <row r="25" spans="1:8" x14ac:dyDescent="0.3">
      <c r="A25">
        <v>10829</v>
      </c>
      <c r="B25" s="11"/>
      <c r="C25" s="11"/>
      <c r="D25" s="11"/>
      <c r="E25" s="11"/>
      <c r="F25" s="11"/>
      <c r="G25" s="11"/>
      <c r="H25" s="11"/>
    </row>
    <row r="26" spans="1:8" x14ac:dyDescent="0.3">
      <c r="A26">
        <v>10702</v>
      </c>
      <c r="B26" s="11">
        <v>-29.010397037382504</v>
      </c>
      <c r="C26" s="11">
        <v>-30.670641013068174</v>
      </c>
      <c r="D26" s="11">
        <v>-31.005624039199944</v>
      </c>
      <c r="E26" s="11">
        <v>-31.238945011401206</v>
      </c>
      <c r="F26" s="11">
        <v>-30.742631979649943</v>
      </c>
      <c r="G26" s="11">
        <v>-31.686540650681739</v>
      </c>
      <c r="H26" s="11">
        <v>-32.724417413504668</v>
      </c>
    </row>
    <row r="27" spans="1:8" x14ac:dyDescent="0.3">
      <c r="A27">
        <v>10576</v>
      </c>
      <c r="B27" s="11">
        <v>-30.005747271519009</v>
      </c>
      <c r="C27" s="11">
        <v>-25.6062699010618</v>
      </c>
      <c r="D27" s="11">
        <v>-31.459060092603323</v>
      </c>
      <c r="E27" s="11">
        <v>-31.899325014113607</v>
      </c>
      <c r="F27" s="11">
        <v>-31.106115506465983</v>
      </c>
      <c r="G27" s="11">
        <v>-31.719064572618009</v>
      </c>
      <c r="H27" s="11"/>
    </row>
    <row r="28" spans="1:8" x14ac:dyDescent="0.3">
      <c r="A28">
        <v>10513</v>
      </c>
      <c r="B28" s="11">
        <v>-33.387890698951409</v>
      </c>
      <c r="C28" s="11">
        <v>-32.009335101162627</v>
      </c>
      <c r="D28" s="11">
        <v>-32.139607607272033</v>
      </c>
      <c r="E28" s="11">
        <v>-32.364027162413066</v>
      </c>
      <c r="F28" s="11">
        <v>-31.752620378792287</v>
      </c>
      <c r="G28" s="11">
        <v>-32.680866533268158</v>
      </c>
      <c r="H28" s="11">
        <v>-33.917859078776971</v>
      </c>
    </row>
  </sheetData>
  <conditionalFormatting sqref="A1">
    <cfRule type="duplicateValues" dxfId="3" priority="2"/>
  </conditionalFormatting>
  <conditionalFormatting sqref="A1:H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1935-15C8-4BE2-B48F-155038177DFF}">
  <dimension ref="A1:B1163"/>
  <sheetViews>
    <sheetView workbookViewId="0">
      <selection activeCell="E26" sqref="E26"/>
    </sheetView>
  </sheetViews>
  <sheetFormatPr baseColWidth="10" defaultRowHeight="14.4" x14ac:dyDescent="0.3"/>
  <sheetData>
    <row r="1" spans="1:2" x14ac:dyDescent="0.3">
      <c r="A1" t="s">
        <v>112</v>
      </c>
      <c r="B1" t="s">
        <v>113</v>
      </c>
    </row>
    <row r="2" spans="1:2" x14ac:dyDescent="0.3">
      <c r="A2">
        <v>6</v>
      </c>
      <c r="B2">
        <v>-34.93</v>
      </c>
    </row>
    <row r="3" spans="1:2" x14ac:dyDescent="0.3">
      <c r="A3">
        <v>6</v>
      </c>
      <c r="B3">
        <v>-34.83</v>
      </c>
    </row>
    <row r="4" spans="1:2" x14ac:dyDescent="0.3">
      <c r="A4">
        <v>6.05</v>
      </c>
      <c r="B4">
        <v>-34.83</v>
      </c>
    </row>
    <row r="5" spans="1:2" x14ac:dyDescent="0.3">
      <c r="A5">
        <v>6.05</v>
      </c>
      <c r="B5">
        <v>-34.4</v>
      </c>
    </row>
    <row r="6" spans="1:2" x14ac:dyDescent="0.3">
      <c r="A6">
        <v>6.1</v>
      </c>
      <c r="B6">
        <v>-34.4</v>
      </c>
    </row>
    <row r="7" spans="1:2" x14ac:dyDescent="0.3">
      <c r="A7">
        <v>6.1</v>
      </c>
      <c r="B7">
        <v>-34.81</v>
      </c>
    </row>
    <row r="8" spans="1:2" x14ac:dyDescent="0.3">
      <c r="A8">
        <v>6.15</v>
      </c>
      <c r="B8">
        <v>-34.81</v>
      </c>
    </row>
    <row r="9" spans="1:2" x14ac:dyDescent="0.3">
      <c r="A9">
        <v>6.15</v>
      </c>
      <c r="B9">
        <v>-34.770000000000003</v>
      </c>
    </row>
    <row r="10" spans="1:2" x14ac:dyDescent="0.3">
      <c r="A10">
        <v>6.2</v>
      </c>
      <c r="B10">
        <v>-34.770000000000003</v>
      </c>
    </row>
    <row r="11" spans="1:2" x14ac:dyDescent="0.3">
      <c r="A11">
        <v>6.2</v>
      </c>
      <c r="B11">
        <v>-34.799999999999997</v>
      </c>
    </row>
    <row r="12" spans="1:2" x14ac:dyDescent="0.3">
      <c r="A12">
        <v>6.25</v>
      </c>
      <c r="B12">
        <v>-34.799999999999997</v>
      </c>
    </row>
    <row r="13" spans="1:2" x14ac:dyDescent="0.3">
      <c r="A13">
        <v>6.25</v>
      </c>
      <c r="B13">
        <v>-34.78</v>
      </c>
    </row>
    <row r="14" spans="1:2" x14ac:dyDescent="0.3">
      <c r="A14">
        <v>6.3</v>
      </c>
      <c r="B14">
        <v>-34.78</v>
      </c>
    </row>
    <row r="15" spans="1:2" x14ac:dyDescent="0.3">
      <c r="A15">
        <v>6.3</v>
      </c>
      <c r="B15">
        <v>-34.65</v>
      </c>
    </row>
    <row r="16" spans="1:2" x14ac:dyDescent="0.3">
      <c r="A16">
        <v>6.35</v>
      </c>
      <c r="B16">
        <v>-34.65</v>
      </c>
    </row>
    <row r="17" spans="1:2" x14ac:dyDescent="0.3">
      <c r="A17">
        <v>6.35</v>
      </c>
      <c r="B17">
        <v>-34.35</v>
      </c>
    </row>
    <row r="18" spans="1:2" x14ac:dyDescent="0.3">
      <c r="A18">
        <v>6.4</v>
      </c>
      <c r="B18">
        <v>-34.35</v>
      </c>
    </row>
    <row r="19" spans="1:2" x14ac:dyDescent="0.3">
      <c r="A19">
        <v>6.4</v>
      </c>
      <c r="B19">
        <v>-34.549999999999997</v>
      </c>
    </row>
    <row r="20" spans="1:2" x14ac:dyDescent="0.3">
      <c r="A20">
        <v>6.45</v>
      </c>
      <c r="B20">
        <v>-34.549999999999997</v>
      </c>
    </row>
    <row r="21" spans="1:2" x14ac:dyDescent="0.3">
      <c r="A21">
        <v>6.45</v>
      </c>
      <c r="B21">
        <v>-35.08</v>
      </c>
    </row>
    <row r="22" spans="1:2" x14ac:dyDescent="0.3">
      <c r="A22">
        <v>6.5</v>
      </c>
      <c r="B22">
        <v>-35.08</v>
      </c>
    </row>
    <row r="23" spans="1:2" x14ac:dyDescent="0.3">
      <c r="A23">
        <v>6.5</v>
      </c>
      <c r="B23">
        <v>-34.47</v>
      </c>
    </row>
    <row r="24" spans="1:2" x14ac:dyDescent="0.3">
      <c r="A24">
        <v>6.55</v>
      </c>
      <c r="B24">
        <v>-34.47</v>
      </c>
    </row>
    <row r="25" spans="1:2" x14ac:dyDescent="0.3">
      <c r="A25">
        <v>6.55</v>
      </c>
      <c r="B25">
        <v>-34.61</v>
      </c>
    </row>
    <row r="26" spans="1:2" x14ac:dyDescent="0.3">
      <c r="A26">
        <v>6.6</v>
      </c>
      <c r="B26">
        <v>-34.61</v>
      </c>
    </row>
    <row r="27" spans="1:2" x14ac:dyDescent="0.3">
      <c r="A27">
        <v>6.6</v>
      </c>
      <c r="B27">
        <v>-34.54</v>
      </c>
    </row>
    <row r="28" spans="1:2" x14ac:dyDescent="0.3">
      <c r="A28">
        <v>6.65</v>
      </c>
      <c r="B28">
        <v>-34.54</v>
      </c>
    </row>
    <row r="29" spans="1:2" x14ac:dyDescent="0.3">
      <c r="A29">
        <v>6.65</v>
      </c>
      <c r="B29">
        <v>-34.51</v>
      </c>
    </row>
    <row r="30" spans="1:2" x14ac:dyDescent="0.3">
      <c r="A30">
        <v>6.7</v>
      </c>
      <c r="B30">
        <v>-34.51</v>
      </c>
    </row>
    <row r="31" spans="1:2" x14ac:dyDescent="0.3">
      <c r="A31">
        <v>6.7</v>
      </c>
      <c r="B31">
        <v>-34.72</v>
      </c>
    </row>
    <row r="32" spans="1:2" x14ac:dyDescent="0.3">
      <c r="A32">
        <v>6.75</v>
      </c>
      <c r="B32">
        <v>-34.72</v>
      </c>
    </row>
    <row r="33" spans="1:2" x14ac:dyDescent="0.3">
      <c r="A33">
        <v>6.75</v>
      </c>
      <c r="B33">
        <v>-34.659999999999997</v>
      </c>
    </row>
    <row r="34" spans="1:2" x14ac:dyDescent="0.3">
      <c r="A34">
        <v>6.8</v>
      </c>
      <c r="B34">
        <v>-34.659999999999997</v>
      </c>
    </row>
    <row r="35" spans="1:2" x14ac:dyDescent="0.3">
      <c r="A35">
        <v>6.8</v>
      </c>
      <c r="B35">
        <v>-34.54</v>
      </c>
    </row>
    <row r="36" spans="1:2" x14ac:dyDescent="0.3">
      <c r="A36">
        <v>6.85</v>
      </c>
      <c r="B36">
        <v>-34.54</v>
      </c>
    </row>
    <row r="37" spans="1:2" x14ac:dyDescent="0.3">
      <c r="A37">
        <v>6.85</v>
      </c>
      <c r="B37">
        <v>-34.770000000000003</v>
      </c>
    </row>
    <row r="38" spans="1:2" x14ac:dyDescent="0.3">
      <c r="A38">
        <v>6.9</v>
      </c>
      <c r="B38">
        <v>-34.770000000000003</v>
      </c>
    </row>
    <row r="39" spans="1:2" x14ac:dyDescent="0.3">
      <c r="A39">
        <v>6.9</v>
      </c>
      <c r="B39">
        <v>-34.6</v>
      </c>
    </row>
    <row r="40" spans="1:2" x14ac:dyDescent="0.3">
      <c r="A40">
        <v>6.95</v>
      </c>
      <c r="B40">
        <v>-34.6</v>
      </c>
    </row>
    <row r="41" spans="1:2" x14ac:dyDescent="0.3">
      <c r="A41">
        <v>6.95</v>
      </c>
      <c r="B41">
        <v>-34.79</v>
      </c>
    </row>
    <row r="42" spans="1:2" x14ac:dyDescent="0.3">
      <c r="A42">
        <v>7</v>
      </c>
      <c r="B42">
        <v>-34.79</v>
      </c>
    </row>
    <row r="43" spans="1:2" x14ac:dyDescent="0.3">
      <c r="A43">
        <v>7</v>
      </c>
      <c r="B43">
        <v>-34.700000000000003</v>
      </c>
    </row>
    <row r="44" spans="1:2" x14ac:dyDescent="0.3">
      <c r="A44">
        <v>7.05</v>
      </c>
      <c r="B44">
        <v>-34.700000000000003</v>
      </c>
    </row>
    <row r="45" spans="1:2" x14ac:dyDescent="0.3">
      <c r="A45">
        <v>7.05</v>
      </c>
      <c r="B45">
        <v>-34.81</v>
      </c>
    </row>
    <row r="46" spans="1:2" x14ac:dyDescent="0.3">
      <c r="A46">
        <v>7.1</v>
      </c>
      <c r="B46">
        <v>-34.81</v>
      </c>
    </row>
    <row r="47" spans="1:2" x14ac:dyDescent="0.3">
      <c r="A47">
        <v>7.1</v>
      </c>
      <c r="B47">
        <v>-34.82</v>
      </c>
    </row>
    <row r="48" spans="1:2" x14ac:dyDescent="0.3">
      <c r="A48">
        <v>7.15</v>
      </c>
      <c r="B48">
        <v>-34.82</v>
      </c>
    </row>
    <row r="49" spans="1:2" x14ac:dyDescent="0.3">
      <c r="A49">
        <v>7.15</v>
      </c>
      <c r="B49">
        <v>-34.61</v>
      </c>
    </row>
    <row r="50" spans="1:2" x14ac:dyDescent="0.3">
      <c r="A50">
        <v>7.2</v>
      </c>
      <c r="B50">
        <v>-34.61</v>
      </c>
    </row>
    <row r="51" spans="1:2" x14ac:dyDescent="0.3">
      <c r="A51">
        <v>7.2</v>
      </c>
      <c r="B51">
        <v>-34.909999999999997</v>
      </c>
    </row>
    <row r="52" spans="1:2" x14ac:dyDescent="0.3">
      <c r="A52">
        <v>7.25</v>
      </c>
      <c r="B52">
        <v>-34.909999999999997</v>
      </c>
    </row>
    <row r="53" spans="1:2" x14ac:dyDescent="0.3">
      <c r="A53">
        <v>7.25</v>
      </c>
      <c r="B53">
        <v>-34.69</v>
      </c>
    </row>
    <row r="54" spans="1:2" x14ac:dyDescent="0.3">
      <c r="A54">
        <v>7.3</v>
      </c>
      <c r="B54">
        <v>-34.69</v>
      </c>
    </row>
    <row r="55" spans="1:2" x14ac:dyDescent="0.3">
      <c r="A55">
        <v>7.3</v>
      </c>
      <c r="B55">
        <v>-34.43</v>
      </c>
    </row>
    <row r="56" spans="1:2" x14ac:dyDescent="0.3">
      <c r="A56">
        <v>7.35</v>
      </c>
      <c r="B56">
        <v>-34.43</v>
      </c>
    </row>
    <row r="57" spans="1:2" x14ac:dyDescent="0.3">
      <c r="A57">
        <v>7.35</v>
      </c>
      <c r="B57">
        <v>-34.409999999999997</v>
      </c>
    </row>
    <row r="58" spans="1:2" x14ac:dyDescent="0.3">
      <c r="A58">
        <v>7.4</v>
      </c>
      <c r="B58">
        <v>-34.409999999999997</v>
      </c>
    </row>
    <row r="59" spans="1:2" x14ac:dyDescent="0.3">
      <c r="A59">
        <v>7.4</v>
      </c>
      <c r="B59">
        <v>-34.520000000000003</v>
      </c>
    </row>
    <row r="60" spans="1:2" x14ac:dyDescent="0.3">
      <c r="A60">
        <v>7.45</v>
      </c>
      <c r="B60">
        <v>-34.520000000000003</v>
      </c>
    </row>
    <row r="61" spans="1:2" x14ac:dyDescent="0.3">
      <c r="A61">
        <v>7.45</v>
      </c>
      <c r="B61">
        <v>-34.69</v>
      </c>
    </row>
    <row r="62" spans="1:2" x14ac:dyDescent="0.3">
      <c r="A62">
        <v>7.5</v>
      </c>
      <c r="B62">
        <v>-34.69</v>
      </c>
    </row>
    <row r="63" spans="1:2" x14ac:dyDescent="0.3">
      <c r="A63">
        <v>7.5</v>
      </c>
      <c r="B63">
        <v>-34.229999999999997</v>
      </c>
    </row>
    <row r="64" spans="1:2" x14ac:dyDescent="0.3">
      <c r="A64">
        <v>7.55</v>
      </c>
      <c r="B64">
        <v>-34.229999999999997</v>
      </c>
    </row>
    <row r="65" spans="1:2" x14ac:dyDescent="0.3">
      <c r="A65">
        <v>7.55</v>
      </c>
      <c r="B65">
        <v>-34.33</v>
      </c>
    </row>
    <row r="66" spans="1:2" x14ac:dyDescent="0.3">
      <c r="A66">
        <v>7.6</v>
      </c>
      <c r="B66">
        <v>-34.33</v>
      </c>
    </row>
    <row r="67" spans="1:2" x14ac:dyDescent="0.3">
      <c r="A67">
        <v>7.6</v>
      </c>
      <c r="B67">
        <v>-34.39</v>
      </c>
    </row>
    <row r="68" spans="1:2" x14ac:dyDescent="0.3">
      <c r="A68">
        <v>7.65</v>
      </c>
      <c r="B68">
        <v>-34.39</v>
      </c>
    </row>
    <row r="69" spans="1:2" x14ac:dyDescent="0.3">
      <c r="A69">
        <v>7.65</v>
      </c>
      <c r="B69">
        <v>-34.42</v>
      </c>
    </row>
    <row r="70" spans="1:2" x14ac:dyDescent="0.3">
      <c r="A70">
        <v>7.7</v>
      </c>
      <c r="B70">
        <v>-34.42</v>
      </c>
    </row>
    <row r="71" spans="1:2" x14ac:dyDescent="0.3">
      <c r="A71">
        <v>7.7</v>
      </c>
      <c r="B71">
        <v>-34.06</v>
      </c>
    </row>
    <row r="72" spans="1:2" x14ac:dyDescent="0.3">
      <c r="A72">
        <v>7.75</v>
      </c>
      <c r="B72">
        <v>-34.06</v>
      </c>
    </row>
    <row r="73" spans="1:2" x14ac:dyDescent="0.3">
      <c r="A73">
        <v>7.75</v>
      </c>
      <c r="B73">
        <v>-34.25</v>
      </c>
    </row>
    <row r="74" spans="1:2" x14ac:dyDescent="0.3">
      <c r="A74">
        <v>7.8</v>
      </c>
      <c r="B74">
        <v>-34.25</v>
      </c>
    </row>
    <row r="75" spans="1:2" x14ac:dyDescent="0.3">
      <c r="A75">
        <v>7.8</v>
      </c>
      <c r="B75">
        <v>-34.89</v>
      </c>
    </row>
    <row r="76" spans="1:2" x14ac:dyDescent="0.3">
      <c r="A76">
        <v>7.85</v>
      </c>
      <c r="B76">
        <v>-34.89</v>
      </c>
    </row>
    <row r="77" spans="1:2" x14ac:dyDescent="0.3">
      <c r="A77">
        <v>7.85</v>
      </c>
      <c r="B77">
        <v>-34.54</v>
      </c>
    </row>
    <row r="78" spans="1:2" x14ac:dyDescent="0.3">
      <c r="A78">
        <v>7.9</v>
      </c>
      <c r="B78">
        <v>-34.54</v>
      </c>
    </row>
    <row r="79" spans="1:2" x14ac:dyDescent="0.3">
      <c r="A79">
        <v>7.9</v>
      </c>
      <c r="B79">
        <v>-34.130000000000003</v>
      </c>
    </row>
    <row r="80" spans="1:2" x14ac:dyDescent="0.3">
      <c r="A80">
        <v>7.95</v>
      </c>
      <c r="B80">
        <v>-34.130000000000003</v>
      </c>
    </row>
    <row r="81" spans="1:2" x14ac:dyDescent="0.3">
      <c r="A81">
        <v>7.95</v>
      </c>
      <c r="B81">
        <v>-34.630000000000003</v>
      </c>
    </row>
    <row r="82" spans="1:2" x14ac:dyDescent="0.3">
      <c r="A82">
        <v>8</v>
      </c>
      <c r="B82">
        <v>-34.630000000000003</v>
      </c>
    </row>
    <row r="83" spans="1:2" x14ac:dyDescent="0.3">
      <c r="A83">
        <v>8</v>
      </c>
      <c r="B83">
        <v>-34.65</v>
      </c>
    </row>
    <row r="84" spans="1:2" x14ac:dyDescent="0.3">
      <c r="A84">
        <v>8.0500000000000007</v>
      </c>
      <c r="B84">
        <v>-34.65</v>
      </c>
    </row>
    <row r="85" spans="1:2" x14ac:dyDescent="0.3">
      <c r="A85">
        <v>8.0500000000000007</v>
      </c>
      <c r="B85">
        <v>-35.51</v>
      </c>
    </row>
    <row r="86" spans="1:2" x14ac:dyDescent="0.3">
      <c r="A86">
        <v>8.1</v>
      </c>
      <c r="B86">
        <v>-35.51</v>
      </c>
    </row>
    <row r="87" spans="1:2" x14ac:dyDescent="0.3">
      <c r="A87">
        <v>8.1</v>
      </c>
      <c r="B87">
        <v>-35.979999999999997</v>
      </c>
    </row>
    <row r="88" spans="1:2" x14ac:dyDescent="0.3">
      <c r="A88">
        <v>8.15</v>
      </c>
      <c r="B88">
        <v>-35.979999999999997</v>
      </c>
    </row>
    <row r="89" spans="1:2" x14ac:dyDescent="0.3">
      <c r="A89">
        <v>8.15</v>
      </c>
      <c r="B89">
        <v>-35.39</v>
      </c>
    </row>
    <row r="90" spans="1:2" x14ac:dyDescent="0.3">
      <c r="A90">
        <v>8.1999999999999993</v>
      </c>
      <c r="B90">
        <v>-35.39</v>
      </c>
    </row>
    <row r="91" spans="1:2" x14ac:dyDescent="0.3">
      <c r="A91">
        <v>8.1999999999999993</v>
      </c>
      <c r="B91">
        <v>-34.6</v>
      </c>
    </row>
    <row r="92" spans="1:2" x14ac:dyDescent="0.3">
      <c r="A92">
        <v>8.25</v>
      </c>
      <c r="B92">
        <v>-34.6</v>
      </c>
    </row>
    <row r="93" spans="1:2" x14ac:dyDescent="0.3">
      <c r="A93">
        <v>8.25</v>
      </c>
      <c r="B93">
        <v>-34.69</v>
      </c>
    </row>
    <row r="94" spans="1:2" x14ac:dyDescent="0.3">
      <c r="A94">
        <v>8.3000000000000007</v>
      </c>
      <c r="B94">
        <v>-34.69</v>
      </c>
    </row>
    <row r="95" spans="1:2" x14ac:dyDescent="0.3">
      <c r="A95">
        <v>8.3000000000000007</v>
      </c>
      <c r="B95">
        <v>-35.130000000000003</v>
      </c>
    </row>
    <row r="96" spans="1:2" x14ac:dyDescent="0.3">
      <c r="A96">
        <v>8.35</v>
      </c>
      <c r="B96">
        <v>-35.130000000000003</v>
      </c>
    </row>
    <row r="97" spans="1:2" x14ac:dyDescent="0.3">
      <c r="A97">
        <v>8.35</v>
      </c>
      <c r="B97">
        <v>-34.770000000000003</v>
      </c>
    </row>
    <row r="98" spans="1:2" x14ac:dyDescent="0.3">
      <c r="A98">
        <v>8.4</v>
      </c>
      <c r="B98">
        <v>-34.770000000000003</v>
      </c>
    </row>
    <row r="99" spans="1:2" x14ac:dyDescent="0.3">
      <c r="A99">
        <v>8.4</v>
      </c>
      <c r="B99">
        <v>-34.6</v>
      </c>
    </row>
    <row r="100" spans="1:2" x14ac:dyDescent="0.3">
      <c r="A100">
        <v>8.4499999999999993</v>
      </c>
      <c r="B100">
        <v>-34.6</v>
      </c>
    </row>
    <row r="101" spans="1:2" x14ac:dyDescent="0.3">
      <c r="A101">
        <v>8.4499999999999993</v>
      </c>
      <c r="B101">
        <v>-34.71</v>
      </c>
    </row>
    <row r="102" spans="1:2" x14ac:dyDescent="0.3">
      <c r="A102">
        <v>8.5</v>
      </c>
      <c r="B102">
        <v>-34.71</v>
      </c>
    </row>
    <row r="103" spans="1:2" x14ac:dyDescent="0.3">
      <c r="A103">
        <v>8.5</v>
      </c>
      <c r="B103">
        <v>-34.46</v>
      </c>
    </row>
    <row r="104" spans="1:2" x14ac:dyDescent="0.3">
      <c r="A104">
        <v>8.5500000000000007</v>
      </c>
      <c r="B104">
        <v>-34.46</v>
      </c>
    </row>
    <row r="105" spans="1:2" x14ac:dyDescent="0.3">
      <c r="A105">
        <v>8.5500000000000007</v>
      </c>
      <c r="B105">
        <v>-35.119999999999997</v>
      </c>
    </row>
    <row r="106" spans="1:2" x14ac:dyDescent="0.3">
      <c r="A106">
        <v>8.6</v>
      </c>
      <c r="B106">
        <v>-35.119999999999997</v>
      </c>
    </row>
    <row r="107" spans="1:2" x14ac:dyDescent="0.3">
      <c r="A107">
        <v>8.6</v>
      </c>
      <c r="B107">
        <v>-34.75</v>
      </c>
    </row>
    <row r="108" spans="1:2" x14ac:dyDescent="0.3">
      <c r="A108">
        <v>8.65</v>
      </c>
      <c r="B108">
        <v>-34.75</v>
      </c>
    </row>
    <row r="109" spans="1:2" x14ac:dyDescent="0.3">
      <c r="A109">
        <v>8.65</v>
      </c>
      <c r="B109">
        <v>-34.82</v>
      </c>
    </row>
    <row r="110" spans="1:2" x14ac:dyDescent="0.3">
      <c r="A110">
        <v>8.6999999999999993</v>
      </c>
      <c r="B110">
        <v>-34.82</v>
      </c>
    </row>
    <row r="111" spans="1:2" x14ac:dyDescent="0.3">
      <c r="A111">
        <v>8.6999999999999993</v>
      </c>
      <c r="B111">
        <v>-35.049999999999997</v>
      </c>
    </row>
    <row r="112" spans="1:2" x14ac:dyDescent="0.3">
      <c r="A112">
        <v>8.75</v>
      </c>
      <c r="B112">
        <v>-35.049999999999997</v>
      </c>
    </row>
    <row r="113" spans="1:2" x14ac:dyDescent="0.3">
      <c r="A113">
        <v>8.75</v>
      </c>
      <c r="B113">
        <v>-34.67</v>
      </c>
    </row>
    <row r="114" spans="1:2" x14ac:dyDescent="0.3">
      <c r="A114">
        <v>8.8000000000000007</v>
      </c>
      <c r="B114">
        <v>-34.67</v>
      </c>
    </row>
    <row r="115" spans="1:2" x14ac:dyDescent="0.3">
      <c r="A115">
        <v>8.8000000000000007</v>
      </c>
      <c r="B115">
        <v>-34.299999999999997</v>
      </c>
    </row>
    <row r="116" spans="1:2" x14ac:dyDescent="0.3">
      <c r="A116">
        <v>8.85</v>
      </c>
      <c r="B116">
        <v>-34.299999999999997</v>
      </c>
    </row>
    <row r="117" spans="1:2" x14ac:dyDescent="0.3">
      <c r="A117">
        <v>8.85</v>
      </c>
      <c r="B117">
        <v>-34.71</v>
      </c>
    </row>
    <row r="118" spans="1:2" x14ac:dyDescent="0.3">
      <c r="A118">
        <v>8.9</v>
      </c>
      <c r="B118">
        <v>-34.71</v>
      </c>
    </row>
    <row r="119" spans="1:2" x14ac:dyDescent="0.3">
      <c r="A119">
        <v>8.9</v>
      </c>
      <c r="B119">
        <v>-34.659999999999997</v>
      </c>
    </row>
    <row r="120" spans="1:2" x14ac:dyDescent="0.3">
      <c r="A120">
        <v>8.9499999999999993</v>
      </c>
      <c r="B120">
        <v>-34.659999999999997</v>
      </c>
    </row>
    <row r="121" spans="1:2" x14ac:dyDescent="0.3">
      <c r="A121">
        <v>8.9499999999999993</v>
      </c>
      <c r="B121">
        <v>-35.22</v>
      </c>
    </row>
    <row r="122" spans="1:2" x14ac:dyDescent="0.3">
      <c r="A122">
        <v>9</v>
      </c>
      <c r="B122">
        <v>-35.22</v>
      </c>
    </row>
    <row r="123" spans="1:2" x14ac:dyDescent="0.3">
      <c r="A123">
        <v>9</v>
      </c>
      <c r="B123">
        <v>-34.78</v>
      </c>
    </row>
    <row r="124" spans="1:2" x14ac:dyDescent="0.3">
      <c r="A124">
        <v>9.0500000000000007</v>
      </c>
      <c r="B124">
        <v>-34.78</v>
      </c>
    </row>
    <row r="125" spans="1:2" x14ac:dyDescent="0.3">
      <c r="A125">
        <v>9.0500000000000007</v>
      </c>
      <c r="B125">
        <v>-34.49</v>
      </c>
    </row>
    <row r="126" spans="1:2" x14ac:dyDescent="0.3">
      <c r="A126">
        <v>9.1</v>
      </c>
      <c r="B126">
        <v>-34.49</v>
      </c>
    </row>
    <row r="127" spans="1:2" x14ac:dyDescent="0.3">
      <c r="A127">
        <v>9.1</v>
      </c>
      <c r="B127">
        <v>-34.81</v>
      </c>
    </row>
    <row r="128" spans="1:2" x14ac:dyDescent="0.3">
      <c r="A128">
        <v>9.15</v>
      </c>
      <c r="B128">
        <v>-34.81</v>
      </c>
    </row>
    <row r="129" spans="1:2" x14ac:dyDescent="0.3">
      <c r="A129">
        <v>9.15</v>
      </c>
      <c r="B129">
        <v>-35.479999999999997</v>
      </c>
    </row>
    <row r="130" spans="1:2" x14ac:dyDescent="0.3">
      <c r="A130">
        <v>9.1999999999999993</v>
      </c>
      <c r="B130">
        <v>-35.479999999999997</v>
      </c>
    </row>
    <row r="131" spans="1:2" x14ac:dyDescent="0.3">
      <c r="A131">
        <v>9.1999999999999993</v>
      </c>
      <c r="B131">
        <v>-35.409999999999997</v>
      </c>
    </row>
    <row r="132" spans="1:2" x14ac:dyDescent="0.3">
      <c r="A132">
        <v>9.25</v>
      </c>
      <c r="B132">
        <v>-35.409999999999997</v>
      </c>
    </row>
    <row r="133" spans="1:2" x14ac:dyDescent="0.3">
      <c r="A133">
        <v>9.25</v>
      </c>
      <c r="B133">
        <v>-34.78</v>
      </c>
    </row>
    <row r="134" spans="1:2" x14ac:dyDescent="0.3">
      <c r="A134">
        <v>9.3000000000000007</v>
      </c>
      <c r="B134">
        <v>-34.78</v>
      </c>
    </row>
    <row r="135" spans="1:2" x14ac:dyDescent="0.3">
      <c r="A135">
        <v>9.3000000000000007</v>
      </c>
      <c r="B135">
        <v>-34.869999999999997</v>
      </c>
    </row>
    <row r="136" spans="1:2" x14ac:dyDescent="0.3">
      <c r="A136">
        <v>9.35</v>
      </c>
      <c r="B136">
        <v>-34.869999999999997</v>
      </c>
    </row>
    <row r="137" spans="1:2" x14ac:dyDescent="0.3">
      <c r="A137">
        <v>9.35</v>
      </c>
      <c r="B137">
        <v>-35.119999999999997</v>
      </c>
    </row>
    <row r="138" spans="1:2" x14ac:dyDescent="0.3">
      <c r="A138">
        <v>9.4</v>
      </c>
      <c r="B138">
        <v>-35.119999999999997</v>
      </c>
    </row>
    <row r="139" spans="1:2" x14ac:dyDescent="0.3">
      <c r="A139">
        <v>9.4</v>
      </c>
      <c r="B139">
        <v>-34.83</v>
      </c>
    </row>
    <row r="140" spans="1:2" x14ac:dyDescent="0.3">
      <c r="A140">
        <v>9.4499999999999993</v>
      </c>
      <c r="B140">
        <v>-34.83</v>
      </c>
    </row>
    <row r="141" spans="1:2" x14ac:dyDescent="0.3">
      <c r="A141">
        <v>9.4499999999999993</v>
      </c>
      <c r="B141">
        <v>-34.909999999999997</v>
      </c>
    </row>
    <row r="142" spans="1:2" x14ac:dyDescent="0.3">
      <c r="A142">
        <v>9.5</v>
      </c>
      <c r="B142">
        <v>-34.909999999999997</v>
      </c>
    </row>
    <row r="143" spans="1:2" x14ac:dyDescent="0.3">
      <c r="A143">
        <v>9.5</v>
      </c>
      <c r="B143">
        <v>-34.86</v>
      </c>
    </row>
    <row r="144" spans="1:2" x14ac:dyDescent="0.3">
      <c r="A144">
        <v>9.5500000000000007</v>
      </c>
      <c r="B144">
        <v>-34.86</v>
      </c>
    </row>
    <row r="145" spans="1:2" x14ac:dyDescent="0.3">
      <c r="A145">
        <v>9.5500000000000007</v>
      </c>
      <c r="B145">
        <v>-34.86</v>
      </c>
    </row>
    <row r="146" spans="1:2" x14ac:dyDescent="0.3">
      <c r="A146">
        <v>9.6</v>
      </c>
      <c r="B146">
        <v>-34.86</v>
      </c>
    </row>
    <row r="147" spans="1:2" x14ac:dyDescent="0.3">
      <c r="A147">
        <v>9.6</v>
      </c>
      <c r="B147">
        <v>-34.700000000000003</v>
      </c>
    </row>
    <row r="148" spans="1:2" x14ac:dyDescent="0.3">
      <c r="A148">
        <v>9.65</v>
      </c>
      <c r="B148">
        <v>-34.700000000000003</v>
      </c>
    </row>
    <row r="149" spans="1:2" x14ac:dyDescent="0.3">
      <c r="A149">
        <v>9.65</v>
      </c>
      <c r="B149">
        <v>-34.64</v>
      </c>
    </row>
    <row r="150" spans="1:2" x14ac:dyDescent="0.3">
      <c r="A150">
        <v>9.6999999999999993</v>
      </c>
      <c r="B150">
        <v>-34.64</v>
      </c>
    </row>
    <row r="151" spans="1:2" x14ac:dyDescent="0.3">
      <c r="A151">
        <v>9.6999999999999993</v>
      </c>
      <c r="B151">
        <v>-35.15</v>
      </c>
    </row>
    <row r="152" spans="1:2" x14ac:dyDescent="0.3">
      <c r="A152">
        <v>9.75</v>
      </c>
      <c r="B152">
        <v>-35.15</v>
      </c>
    </row>
    <row r="153" spans="1:2" x14ac:dyDescent="0.3">
      <c r="A153">
        <v>9.75</v>
      </c>
      <c r="B153">
        <v>-34.99</v>
      </c>
    </row>
    <row r="154" spans="1:2" x14ac:dyDescent="0.3">
      <c r="A154">
        <v>9.8000000000000007</v>
      </c>
      <c r="B154">
        <v>-34.99</v>
      </c>
    </row>
    <row r="155" spans="1:2" x14ac:dyDescent="0.3">
      <c r="A155">
        <v>9.8000000000000007</v>
      </c>
      <c r="B155">
        <v>-35.130000000000003</v>
      </c>
    </row>
    <row r="156" spans="1:2" x14ac:dyDescent="0.3">
      <c r="A156">
        <v>9.85</v>
      </c>
      <c r="B156">
        <v>-35.130000000000003</v>
      </c>
    </row>
    <row r="157" spans="1:2" x14ac:dyDescent="0.3">
      <c r="A157">
        <v>9.85</v>
      </c>
      <c r="B157">
        <v>-34.93</v>
      </c>
    </row>
    <row r="158" spans="1:2" x14ac:dyDescent="0.3">
      <c r="A158">
        <v>9.9</v>
      </c>
      <c r="B158">
        <v>-34.93</v>
      </c>
    </row>
    <row r="159" spans="1:2" x14ac:dyDescent="0.3">
      <c r="A159">
        <v>9.9</v>
      </c>
      <c r="B159">
        <v>-35.29</v>
      </c>
    </row>
    <row r="160" spans="1:2" x14ac:dyDescent="0.3">
      <c r="A160">
        <v>9.9499999999999993</v>
      </c>
      <c r="B160">
        <v>-35.29</v>
      </c>
    </row>
    <row r="161" spans="1:2" x14ac:dyDescent="0.3">
      <c r="A161">
        <v>9.9499999999999993</v>
      </c>
      <c r="B161">
        <v>-35.25</v>
      </c>
    </row>
    <row r="162" spans="1:2" x14ac:dyDescent="0.3">
      <c r="A162">
        <v>10</v>
      </c>
      <c r="B162">
        <v>-35.25</v>
      </c>
    </row>
    <row r="163" spans="1:2" x14ac:dyDescent="0.3">
      <c r="A163">
        <v>10</v>
      </c>
      <c r="B163">
        <v>-35.24</v>
      </c>
    </row>
    <row r="164" spans="1:2" x14ac:dyDescent="0.3">
      <c r="A164">
        <v>10.050000000000001</v>
      </c>
      <c r="B164">
        <v>-35.24</v>
      </c>
    </row>
    <row r="165" spans="1:2" x14ac:dyDescent="0.3">
      <c r="A165">
        <v>10.050000000000001</v>
      </c>
      <c r="B165">
        <v>-35.380000000000003</v>
      </c>
    </row>
    <row r="166" spans="1:2" x14ac:dyDescent="0.3">
      <c r="A166">
        <v>10.1</v>
      </c>
      <c r="B166">
        <v>-35.380000000000003</v>
      </c>
    </row>
    <row r="167" spans="1:2" x14ac:dyDescent="0.3">
      <c r="A167">
        <v>10.1</v>
      </c>
      <c r="B167">
        <v>-36.270000000000003</v>
      </c>
    </row>
    <row r="168" spans="1:2" x14ac:dyDescent="0.3">
      <c r="A168">
        <v>10.15</v>
      </c>
      <c r="B168">
        <v>-36.270000000000003</v>
      </c>
    </row>
    <row r="169" spans="1:2" x14ac:dyDescent="0.3">
      <c r="A169">
        <v>10.15</v>
      </c>
      <c r="B169">
        <v>-35.729999999999997</v>
      </c>
    </row>
    <row r="170" spans="1:2" x14ac:dyDescent="0.3">
      <c r="A170">
        <v>10.199999999999999</v>
      </c>
      <c r="B170">
        <v>-35.729999999999997</v>
      </c>
    </row>
    <row r="171" spans="1:2" x14ac:dyDescent="0.3">
      <c r="A171">
        <v>10.199999999999999</v>
      </c>
      <c r="B171">
        <v>-36.18</v>
      </c>
    </row>
    <row r="172" spans="1:2" x14ac:dyDescent="0.3">
      <c r="A172">
        <v>10.25</v>
      </c>
      <c r="B172">
        <v>-36.18</v>
      </c>
    </row>
    <row r="173" spans="1:2" x14ac:dyDescent="0.3">
      <c r="A173">
        <v>10.25</v>
      </c>
      <c r="B173">
        <v>-36.22</v>
      </c>
    </row>
    <row r="174" spans="1:2" x14ac:dyDescent="0.3">
      <c r="A174">
        <v>10.3</v>
      </c>
      <c r="B174">
        <v>-36.22</v>
      </c>
    </row>
    <row r="175" spans="1:2" x14ac:dyDescent="0.3">
      <c r="A175">
        <v>10.3</v>
      </c>
      <c r="B175">
        <v>-36.090000000000003</v>
      </c>
    </row>
    <row r="176" spans="1:2" x14ac:dyDescent="0.3">
      <c r="A176">
        <v>10.35</v>
      </c>
      <c r="B176">
        <v>-36.090000000000003</v>
      </c>
    </row>
    <row r="177" spans="1:2" x14ac:dyDescent="0.3">
      <c r="A177">
        <v>10.35</v>
      </c>
      <c r="B177">
        <v>-35.700000000000003</v>
      </c>
    </row>
    <row r="178" spans="1:2" x14ac:dyDescent="0.3">
      <c r="A178">
        <v>10.4</v>
      </c>
      <c r="B178">
        <v>-35.700000000000003</v>
      </c>
    </row>
    <row r="179" spans="1:2" x14ac:dyDescent="0.3">
      <c r="A179">
        <v>10.4</v>
      </c>
      <c r="B179">
        <v>-35.9</v>
      </c>
    </row>
    <row r="180" spans="1:2" x14ac:dyDescent="0.3">
      <c r="A180">
        <v>10.45</v>
      </c>
      <c r="B180">
        <v>-35.9</v>
      </c>
    </row>
    <row r="181" spans="1:2" x14ac:dyDescent="0.3">
      <c r="A181">
        <v>10.45</v>
      </c>
      <c r="B181">
        <v>-36.299999999999997</v>
      </c>
    </row>
    <row r="182" spans="1:2" x14ac:dyDescent="0.3">
      <c r="A182">
        <v>10.5</v>
      </c>
      <c r="B182">
        <v>-36.299999999999997</v>
      </c>
    </row>
    <row r="183" spans="1:2" x14ac:dyDescent="0.3">
      <c r="A183">
        <v>10.5</v>
      </c>
      <c r="B183">
        <v>-35.619999999999997</v>
      </c>
    </row>
    <row r="184" spans="1:2" x14ac:dyDescent="0.3">
      <c r="A184">
        <v>10.55</v>
      </c>
      <c r="B184">
        <v>-35.619999999999997</v>
      </c>
    </row>
    <row r="185" spans="1:2" x14ac:dyDescent="0.3">
      <c r="A185">
        <v>10.55</v>
      </c>
      <c r="B185">
        <v>-36.17</v>
      </c>
    </row>
    <row r="186" spans="1:2" x14ac:dyDescent="0.3">
      <c r="A186">
        <v>10.6</v>
      </c>
      <c r="B186">
        <v>-36.17</v>
      </c>
    </row>
    <row r="187" spans="1:2" x14ac:dyDescent="0.3">
      <c r="A187">
        <v>10.6</v>
      </c>
      <c r="B187">
        <v>-36.31</v>
      </c>
    </row>
    <row r="188" spans="1:2" x14ac:dyDescent="0.3">
      <c r="A188">
        <v>10.65</v>
      </c>
      <c r="B188">
        <v>-36.31</v>
      </c>
    </row>
    <row r="189" spans="1:2" x14ac:dyDescent="0.3">
      <c r="A189">
        <v>10.65</v>
      </c>
      <c r="B189">
        <v>-36.54</v>
      </c>
    </row>
    <row r="190" spans="1:2" x14ac:dyDescent="0.3">
      <c r="A190">
        <v>10.7</v>
      </c>
      <c r="B190">
        <v>-36.54</v>
      </c>
    </row>
    <row r="191" spans="1:2" x14ac:dyDescent="0.3">
      <c r="A191">
        <v>10.7</v>
      </c>
      <c r="B191">
        <v>-37.36</v>
      </c>
    </row>
    <row r="192" spans="1:2" x14ac:dyDescent="0.3">
      <c r="A192">
        <v>10.75</v>
      </c>
      <c r="B192">
        <v>-37.36</v>
      </c>
    </row>
    <row r="193" spans="1:2" x14ac:dyDescent="0.3">
      <c r="A193">
        <v>10.75</v>
      </c>
      <c r="B193">
        <v>-37.229999999999997</v>
      </c>
    </row>
    <row r="194" spans="1:2" x14ac:dyDescent="0.3">
      <c r="A194">
        <v>10.8</v>
      </c>
      <c r="B194">
        <v>-37.229999999999997</v>
      </c>
    </row>
    <row r="195" spans="1:2" x14ac:dyDescent="0.3">
      <c r="A195">
        <v>10.8</v>
      </c>
      <c r="B195">
        <v>-36.99</v>
      </c>
    </row>
    <row r="196" spans="1:2" x14ac:dyDescent="0.3">
      <c r="A196">
        <v>10.85</v>
      </c>
      <c r="B196">
        <v>-36.99</v>
      </c>
    </row>
    <row r="197" spans="1:2" x14ac:dyDescent="0.3">
      <c r="A197">
        <v>10.85</v>
      </c>
      <c r="B197">
        <v>-36.700000000000003</v>
      </c>
    </row>
    <row r="198" spans="1:2" x14ac:dyDescent="0.3">
      <c r="A198">
        <v>10.9</v>
      </c>
      <c r="B198">
        <v>-36.700000000000003</v>
      </c>
    </row>
    <row r="199" spans="1:2" x14ac:dyDescent="0.3">
      <c r="A199">
        <v>10.9</v>
      </c>
      <c r="B199">
        <v>-36.78</v>
      </c>
    </row>
    <row r="200" spans="1:2" x14ac:dyDescent="0.3">
      <c r="A200">
        <v>10.95</v>
      </c>
      <c r="B200">
        <v>-36.78</v>
      </c>
    </row>
    <row r="201" spans="1:2" x14ac:dyDescent="0.3">
      <c r="A201">
        <v>10.95</v>
      </c>
      <c r="B201">
        <v>-36.729999999999997</v>
      </c>
    </row>
    <row r="202" spans="1:2" x14ac:dyDescent="0.3">
      <c r="A202">
        <v>11</v>
      </c>
      <c r="B202">
        <v>-36.729999999999997</v>
      </c>
    </row>
    <row r="203" spans="1:2" x14ac:dyDescent="0.3">
      <c r="A203">
        <v>11</v>
      </c>
      <c r="B203">
        <v>-37.479999999999997</v>
      </c>
    </row>
    <row r="204" spans="1:2" x14ac:dyDescent="0.3">
      <c r="A204">
        <v>11.05</v>
      </c>
      <c r="B204">
        <v>-37.479999999999997</v>
      </c>
    </row>
    <row r="205" spans="1:2" x14ac:dyDescent="0.3">
      <c r="A205">
        <v>11.05</v>
      </c>
      <c r="B205">
        <v>-36.51</v>
      </c>
    </row>
    <row r="206" spans="1:2" x14ac:dyDescent="0.3">
      <c r="A206">
        <v>11.1</v>
      </c>
      <c r="B206">
        <v>-36.51</v>
      </c>
    </row>
    <row r="207" spans="1:2" x14ac:dyDescent="0.3">
      <c r="A207">
        <v>11.1</v>
      </c>
      <c r="B207">
        <v>-36.96</v>
      </c>
    </row>
    <row r="208" spans="1:2" x14ac:dyDescent="0.3">
      <c r="A208">
        <v>11.15</v>
      </c>
      <c r="B208">
        <v>-36.96</v>
      </c>
    </row>
    <row r="209" spans="1:2" x14ac:dyDescent="0.3">
      <c r="A209">
        <v>11.15</v>
      </c>
      <c r="B209">
        <v>-37.44</v>
      </c>
    </row>
    <row r="210" spans="1:2" x14ac:dyDescent="0.3">
      <c r="A210">
        <v>11.2</v>
      </c>
      <c r="B210">
        <v>-37.44</v>
      </c>
    </row>
    <row r="211" spans="1:2" x14ac:dyDescent="0.3">
      <c r="A211">
        <v>11.2</v>
      </c>
      <c r="B211">
        <v>-37.979999999999997</v>
      </c>
    </row>
    <row r="212" spans="1:2" x14ac:dyDescent="0.3">
      <c r="A212">
        <v>11.25</v>
      </c>
      <c r="B212">
        <v>-37.979999999999997</v>
      </c>
    </row>
    <row r="213" spans="1:2" x14ac:dyDescent="0.3">
      <c r="A213">
        <v>11.25</v>
      </c>
      <c r="B213">
        <v>-38.03</v>
      </c>
    </row>
    <row r="214" spans="1:2" x14ac:dyDescent="0.3">
      <c r="A214">
        <v>11.3</v>
      </c>
      <c r="B214">
        <v>-38.03</v>
      </c>
    </row>
    <row r="215" spans="1:2" x14ac:dyDescent="0.3">
      <c r="A215">
        <v>11.3</v>
      </c>
      <c r="B215">
        <v>-37.130000000000003</v>
      </c>
    </row>
    <row r="216" spans="1:2" x14ac:dyDescent="0.3">
      <c r="A216">
        <v>11.35</v>
      </c>
      <c r="B216">
        <v>-37.130000000000003</v>
      </c>
    </row>
    <row r="217" spans="1:2" x14ac:dyDescent="0.3">
      <c r="A217">
        <v>11.35</v>
      </c>
      <c r="B217">
        <v>-36.770000000000003</v>
      </c>
    </row>
    <row r="218" spans="1:2" x14ac:dyDescent="0.3">
      <c r="A218">
        <v>11.4</v>
      </c>
      <c r="B218">
        <v>-36.770000000000003</v>
      </c>
    </row>
    <row r="219" spans="1:2" x14ac:dyDescent="0.3">
      <c r="A219">
        <v>11.4</v>
      </c>
      <c r="B219">
        <v>-36.700000000000003</v>
      </c>
    </row>
    <row r="220" spans="1:2" x14ac:dyDescent="0.3">
      <c r="A220">
        <v>11.45</v>
      </c>
      <c r="B220">
        <v>-36.700000000000003</v>
      </c>
    </row>
    <row r="221" spans="1:2" x14ac:dyDescent="0.3">
      <c r="A221">
        <v>11.45</v>
      </c>
      <c r="B221">
        <v>-38.99</v>
      </c>
    </row>
    <row r="222" spans="1:2" x14ac:dyDescent="0.3">
      <c r="A222">
        <v>11.5</v>
      </c>
      <c r="B222">
        <v>-38.99</v>
      </c>
    </row>
    <row r="223" spans="1:2" x14ac:dyDescent="0.3">
      <c r="A223">
        <v>11.5</v>
      </c>
      <c r="B223">
        <v>-40.22</v>
      </c>
    </row>
    <row r="224" spans="1:2" x14ac:dyDescent="0.3">
      <c r="A224">
        <v>11.55</v>
      </c>
      <c r="B224">
        <v>-40.22</v>
      </c>
    </row>
    <row r="225" spans="1:2" x14ac:dyDescent="0.3">
      <c r="A225">
        <v>11.55</v>
      </c>
      <c r="B225">
        <v>-40.22</v>
      </c>
    </row>
    <row r="226" spans="1:2" x14ac:dyDescent="0.3">
      <c r="A226">
        <v>11.6</v>
      </c>
      <c r="B226">
        <v>-40.22</v>
      </c>
    </row>
    <row r="227" spans="1:2" x14ac:dyDescent="0.3">
      <c r="A227">
        <v>11.6</v>
      </c>
      <c r="B227">
        <v>-39.71</v>
      </c>
    </row>
    <row r="228" spans="1:2" x14ac:dyDescent="0.3">
      <c r="A228">
        <v>11.65</v>
      </c>
      <c r="B228">
        <v>-39.71</v>
      </c>
    </row>
    <row r="229" spans="1:2" x14ac:dyDescent="0.3">
      <c r="A229">
        <v>11.65</v>
      </c>
      <c r="B229">
        <v>-40.840000000000003</v>
      </c>
    </row>
    <row r="230" spans="1:2" x14ac:dyDescent="0.3">
      <c r="A230">
        <v>11.7</v>
      </c>
      <c r="B230">
        <v>-40.840000000000003</v>
      </c>
    </row>
    <row r="231" spans="1:2" x14ac:dyDescent="0.3">
      <c r="A231">
        <v>11.7</v>
      </c>
      <c r="B231">
        <v>-41.04</v>
      </c>
    </row>
    <row r="232" spans="1:2" x14ac:dyDescent="0.3">
      <c r="A232">
        <v>11.75</v>
      </c>
      <c r="B232">
        <v>-41.04</v>
      </c>
    </row>
    <row r="233" spans="1:2" x14ac:dyDescent="0.3">
      <c r="A233">
        <v>11.75</v>
      </c>
      <c r="B233">
        <v>-40.409999999999997</v>
      </c>
    </row>
    <row r="234" spans="1:2" x14ac:dyDescent="0.3">
      <c r="A234">
        <v>11.8</v>
      </c>
      <c r="B234">
        <v>-40.409999999999997</v>
      </c>
    </row>
    <row r="235" spans="1:2" x14ac:dyDescent="0.3">
      <c r="A235">
        <v>11.8</v>
      </c>
      <c r="B235">
        <v>-39.950000000000003</v>
      </c>
    </row>
    <row r="236" spans="1:2" x14ac:dyDescent="0.3">
      <c r="A236">
        <v>11.85</v>
      </c>
      <c r="B236">
        <v>-39.950000000000003</v>
      </c>
    </row>
    <row r="237" spans="1:2" x14ac:dyDescent="0.3">
      <c r="A237">
        <v>11.85</v>
      </c>
      <c r="B237">
        <v>-41.22</v>
      </c>
    </row>
    <row r="238" spans="1:2" x14ac:dyDescent="0.3">
      <c r="A238">
        <v>11.9</v>
      </c>
      <c r="B238">
        <v>-41.22</v>
      </c>
    </row>
    <row r="239" spans="1:2" x14ac:dyDescent="0.3">
      <c r="A239">
        <v>11.9</v>
      </c>
      <c r="B239">
        <v>-41.38</v>
      </c>
    </row>
    <row r="240" spans="1:2" x14ac:dyDescent="0.3">
      <c r="A240">
        <v>11.95</v>
      </c>
      <c r="B240">
        <v>-41.38</v>
      </c>
    </row>
    <row r="241" spans="1:2" x14ac:dyDescent="0.3">
      <c r="A241">
        <v>11.95</v>
      </c>
      <c r="B241">
        <v>-40.630000000000003</v>
      </c>
    </row>
    <row r="242" spans="1:2" x14ac:dyDescent="0.3">
      <c r="A242">
        <v>12</v>
      </c>
      <c r="B242">
        <v>-40.630000000000003</v>
      </c>
    </row>
    <row r="243" spans="1:2" x14ac:dyDescent="0.3">
      <c r="A243">
        <v>12</v>
      </c>
      <c r="B243">
        <v>-40.39</v>
      </c>
    </row>
    <row r="244" spans="1:2" x14ac:dyDescent="0.3">
      <c r="A244">
        <v>12.05</v>
      </c>
      <c r="B244">
        <v>-40.39</v>
      </c>
    </row>
    <row r="245" spans="1:2" x14ac:dyDescent="0.3">
      <c r="A245">
        <v>12.05</v>
      </c>
      <c r="B245">
        <v>-40.76</v>
      </c>
    </row>
    <row r="246" spans="1:2" x14ac:dyDescent="0.3">
      <c r="A246">
        <v>12.1</v>
      </c>
      <c r="B246">
        <v>-40.76</v>
      </c>
    </row>
    <row r="247" spans="1:2" x14ac:dyDescent="0.3">
      <c r="A247">
        <v>12.1</v>
      </c>
      <c r="B247">
        <v>-41.37</v>
      </c>
    </row>
    <row r="248" spans="1:2" x14ac:dyDescent="0.3">
      <c r="A248">
        <v>12.15</v>
      </c>
      <c r="B248">
        <v>-41.37</v>
      </c>
    </row>
    <row r="249" spans="1:2" x14ac:dyDescent="0.3">
      <c r="A249">
        <v>12.15</v>
      </c>
      <c r="B249">
        <v>-40.97</v>
      </c>
    </row>
    <row r="250" spans="1:2" x14ac:dyDescent="0.3">
      <c r="A250">
        <v>12.2</v>
      </c>
      <c r="B250">
        <v>-40.97</v>
      </c>
    </row>
    <row r="251" spans="1:2" x14ac:dyDescent="0.3">
      <c r="A251">
        <v>12.2</v>
      </c>
      <c r="B251">
        <v>-41.06</v>
      </c>
    </row>
    <row r="252" spans="1:2" x14ac:dyDescent="0.3">
      <c r="A252">
        <v>12.25</v>
      </c>
      <c r="B252">
        <v>-41.06</v>
      </c>
    </row>
    <row r="253" spans="1:2" x14ac:dyDescent="0.3">
      <c r="A253">
        <v>12.25</v>
      </c>
      <c r="B253">
        <v>-40.54</v>
      </c>
    </row>
    <row r="254" spans="1:2" x14ac:dyDescent="0.3">
      <c r="A254">
        <v>12.3</v>
      </c>
      <c r="B254">
        <v>-40.54</v>
      </c>
    </row>
    <row r="255" spans="1:2" x14ac:dyDescent="0.3">
      <c r="A255">
        <v>12.3</v>
      </c>
      <c r="B255">
        <v>-40.82</v>
      </c>
    </row>
    <row r="256" spans="1:2" x14ac:dyDescent="0.3">
      <c r="A256">
        <v>12.35</v>
      </c>
      <c r="B256">
        <v>-40.82</v>
      </c>
    </row>
    <row r="257" spans="1:2" x14ac:dyDescent="0.3">
      <c r="A257">
        <v>12.35</v>
      </c>
      <c r="B257">
        <v>-41.67</v>
      </c>
    </row>
    <row r="258" spans="1:2" x14ac:dyDescent="0.3">
      <c r="A258">
        <v>12.4</v>
      </c>
      <c r="B258">
        <v>-41.67</v>
      </c>
    </row>
    <row r="259" spans="1:2" x14ac:dyDescent="0.3">
      <c r="A259">
        <v>12.4</v>
      </c>
      <c r="B259">
        <v>-41.11</v>
      </c>
    </row>
    <row r="260" spans="1:2" x14ac:dyDescent="0.3">
      <c r="A260">
        <v>12.45</v>
      </c>
      <c r="B260">
        <v>-41.11</v>
      </c>
    </row>
    <row r="261" spans="1:2" x14ac:dyDescent="0.3">
      <c r="A261">
        <v>12.45</v>
      </c>
      <c r="B261">
        <v>-42.21</v>
      </c>
    </row>
    <row r="262" spans="1:2" x14ac:dyDescent="0.3">
      <c r="A262">
        <v>12.5</v>
      </c>
      <c r="B262">
        <v>-42.21</v>
      </c>
    </row>
    <row r="263" spans="1:2" x14ac:dyDescent="0.3">
      <c r="A263">
        <v>12.5</v>
      </c>
      <c r="B263">
        <v>-40.86</v>
      </c>
    </row>
    <row r="264" spans="1:2" x14ac:dyDescent="0.3">
      <c r="A264">
        <v>12.55</v>
      </c>
      <c r="B264">
        <v>-40.86</v>
      </c>
    </row>
    <row r="265" spans="1:2" x14ac:dyDescent="0.3">
      <c r="A265">
        <v>12.55</v>
      </c>
      <c r="B265">
        <v>-40.18</v>
      </c>
    </row>
    <row r="266" spans="1:2" x14ac:dyDescent="0.3">
      <c r="A266">
        <v>12.6</v>
      </c>
      <c r="B266">
        <v>-40.18</v>
      </c>
    </row>
    <row r="267" spans="1:2" x14ac:dyDescent="0.3">
      <c r="A267">
        <v>12.6</v>
      </c>
      <c r="B267">
        <v>-39.53</v>
      </c>
    </row>
    <row r="268" spans="1:2" x14ac:dyDescent="0.3">
      <c r="A268">
        <v>12.65</v>
      </c>
      <c r="B268">
        <v>-39.53</v>
      </c>
    </row>
    <row r="269" spans="1:2" x14ac:dyDescent="0.3">
      <c r="A269">
        <v>12.65</v>
      </c>
      <c r="B269">
        <v>-39.03</v>
      </c>
    </row>
    <row r="270" spans="1:2" x14ac:dyDescent="0.3">
      <c r="A270">
        <v>12.7</v>
      </c>
      <c r="B270">
        <v>-39.03</v>
      </c>
    </row>
    <row r="271" spans="1:2" x14ac:dyDescent="0.3">
      <c r="A271">
        <v>12.7</v>
      </c>
      <c r="B271">
        <v>-38.76</v>
      </c>
    </row>
    <row r="272" spans="1:2" x14ac:dyDescent="0.3">
      <c r="A272">
        <v>12.75</v>
      </c>
      <c r="B272">
        <v>-38.76</v>
      </c>
    </row>
    <row r="273" spans="1:2" x14ac:dyDescent="0.3">
      <c r="A273">
        <v>12.75</v>
      </c>
      <c r="B273">
        <v>-39.380000000000003</v>
      </c>
    </row>
    <row r="274" spans="1:2" x14ac:dyDescent="0.3">
      <c r="A274">
        <v>12.8</v>
      </c>
      <c r="B274">
        <v>-39.380000000000003</v>
      </c>
    </row>
    <row r="275" spans="1:2" x14ac:dyDescent="0.3">
      <c r="A275">
        <v>12.8</v>
      </c>
      <c r="B275">
        <v>-39.880000000000003</v>
      </c>
    </row>
    <row r="276" spans="1:2" x14ac:dyDescent="0.3">
      <c r="A276">
        <v>12.85</v>
      </c>
      <c r="B276">
        <v>-39.880000000000003</v>
      </c>
    </row>
    <row r="277" spans="1:2" x14ac:dyDescent="0.3">
      <c r="A277">
        <v>12.85</v>
      </c>
      <c r="B277">
        <v>-40.07</v>
      </c>
    </row>
    <row r="278" spans="1:2" x14ac:dyDescent="0.3">
      <c r="A278">
        <v>12.9</v>
      </c>
      <c r="B278">
        <v>-40.07</v>
      </c>
    </row>
    <row r="279" spans="1:2" x14ac:dyDescent="0.3">
      <c r="A279">
        <v>12.9</v>
      </c>
      <c r="B279">
        <v>-41.07</v>
      </c>
    </row>
    <row r="280" spans="1:2" x14ac:dyDescent="0.3">
      <c r="A280">
        <v>12.95</v>
      </c>
      <c r="B280">
        <v>-41.07</v>
      </c>
    </row>
    <row r="281" spans="1:2" x14ac:dyDescent="0.3">
      <c r="A281">
        <v>12.95</v>
      </c>
      <c r="B281">
        <v>-40.049999999999997</v>
      </c>
    </row>
    <row r="282" spans="1:2" x14ac:dyDescent="0.3">
      <c r="A282">
        <v>13</v>
      </c>
      <c r="B282">
        <v>-40.049999999999997</v>
      </c>
    </row>
    <row r="283" spans="1:2" x14ac:dyDescent="0.3">
      <c r="A283">
        <v>13</v>
      </c>
      <c r="B283">
        <v>-40.200000000000003</v>
      </c>
    </row>
    <row r="284" spans="1:2" x14ac:dyDescent="0.3">
      <c r="A284">
        <v>13.05</v>
      </c>
      <c r="B284">
        <v>-40.200000000000003</v>
      </c>
    </row>
    <row r="285" spans="1:2" x14ac:dyDescent="0.3">
      <c r="A285">
        <v>13.05</v>
      </c>
      <c r="B285">
        <v>-39.07</v>
      </c>
    </row>
    <row r="286" spans="1:2" x14ac:dyDescent="0.3">
      <c r="A286">
        <v>13.1</v>
      </c>
      <c r="B286">
        <v>-39.07</v>
      </c>
    </row>
    <row r="287" spans="1:2" x14ac:dyDescent="0.3">
      <c r="A287">
        <v>13.1</v>
      </c>
      <c r="B287">
        <v>-39.19</v>
      </c>
    </row>
    <row r="288" spans="1:2" x14ac:dyDescent="0.3">
      <c r="A288">
        <v>13.15</v>
      </c>
      <c r="B288">
        <v>-39.19</v>
      </c>
    </row>
    <row r="289" spans="1:2" x14ac:dyDescent="0.3">
      <c r="A289">
        <v>13.15</v>
      </c>
      <c r="B289">
        <v>-38.57</v>
      </c>
    </row>
    <row r="290" spans="1:2" x14ac:dyDescent="0.3">
      <c r="A290">
        <v>13.2</v>
      </c>
      <c r="B290">
        <v>-38.57</v>
      </c>
    </row>
    <row r="291" spans="1:2" x14ac:dyDescent="0.3">
      <c r="A291">
        <v>13.2</v>
      </c>
      <c r="B291">
        <v>-38.44</v>
      </c>
    </row>
    <row r="292" spans="1:2" x14ac:dyDescent="0.3">
      <c r="A292">
        <v>13.25</v>
      </c>
      <c r="B292">
        <v>-38.44</v>
      </c>
    </row>
    <row r="293" spans="1:2" x14ac:dyDescent="0.3">
      <c r="A293">
        <v>13.25</v>
      </c>
      <c r="B293">
        <v>-38.61</v>
      </c>
    </row>
    <row r="294" spans="1:2" x14ac:dyDescent="0.3">
      <c r="A294">
        <v>13.3</v>
      </c>
      <c r="B294">
        <v>-38.61</v>
      </c>
    </row>
    <row r="295" spans="1:2" x14ac:dyDescent="0.3">
      <c r="A295">
        <v>13.3</v>
      </c>
      <c r="B295">
        <v>-38.01</v>
      </c>
    </row>
    <row r="296" spans="1:2" x14ac:dyDescent="0.3">
      <c r="A296">
        <v>13.35</v>
      </c>
      <c r="B296">
        <v>-38.01</v>
      </c>
    </row>
    <row r="297" spans="1:2" x14ac:dyDescent="0.3">
      <c r="A297">
        <v>13.35</v>
      </c>
      <c r="B297">
        <v>-38.520000000000003</v>
      </c>
    </row>
    <row r="298" spans="1:2" x14ac:dyDescent="0.3">
      <c r="A298">
        <v>13.4</v>
      </c>
      <c r="B298">
        <v>-38.520000000000003</v>
      </c>
    </row>
    <row r="299" spans="1:2" x14ac:dyDescent="0.3">
      <c r="A299">
        <v>13.4</v>
      </c>
      <c r="B299">
        <v>-39.25</v>
      </c>
    </row>
    <row r="300" spans="1:2" x14ac:dyDescent="0.3">
      <c r="A300">
        <v>13.45</v>
      </c>
      <c r="B300">
        <v>-39.25</v>
      </c>
    </row>
    <row r="301" spans="1:2" x14ac:dyDescent="0.3">
      <c r="A301">
        <v>13.45</v>
      </c>
      <c r="B301">
        <v>-39.770000000000003</v>
      </c>
    </row>
    <row r="302" spans="1:2" x14ac:dyDescent="0.3">
      <c r="A302">
        <v>13.5</v>
      </c>
      <c r="B302">
        <v>-39.770000000000003</v>
      </c>
    </row>
    <row r="303" spans="1:2" x14ac:dyDescent="0.3">
      <c r="A303">
        <v>13.5</v>
      </c>
      <c r="B303">
        <v>-38.74</v>
      </c>
    </row>
    <row r="304" spans="1:2" x14ac:dyDescent="0.3">
      <c r="A304">
        <v>13.55</v>
      </c>
      <c r="B304">
        <v>-38.74</v>
      </c>
    </row>
    <row r="305" spans="1:2" x14ac:dyDescent="0.3">
      <c r="A305">
        <v>13.55</v>
      </c>
      <c r="B305">
        <v>-38.25</v>
      </c>
    </row>
    <row r="306" spans="1:2" x14ac:dyDescent="0.3">
      <c r="A306">
        <v>13.6</v>
      </c>
      <c r="B306">
        <v>-38.25</v>
      </c>
    </row>
    <row r="307" spans="1:2" x14ac:dyDescent="0.3">
      <c r="A307">
        <v>13.6</v>
      </c>
      <c r="B307">
        <v>-39.08</v>
      </c>
    </row>
    <row r="308" spans="1:2" x14ac:dyDescent="0.3">
      <c r="A308">
        <v>13.65</v>
      </c>
      <c r="B308">
        <v>-39.08</v>
      </c>
    </row>
    <row r="309" spans="1:2" x14ac:dyDescent="0.3">
      <c r="A309">
        <v>13.65</v>
      </c>
      <c r="B309">
        <v>-38.380000000000003</v>
      </c>
    </row>
    <row r="310" spans="1:2" x14ac:dyDescent="0.3">
      <c r="A310">
        <v>13.7</v>
      </c>
      <c r="B310">
        <v>-38.380000000000003</v>
      </c>
    </row>
    <row r="311" spans="1:2" x14ac:dyDescent="0.3">
      <c r="A311">
        <v>13.7</v>
      </c>
      <c r="B311">
        <v>-38.08</v>
      </c>
    </row>
    <row r="312" spans="1:2" x14ac:dyDescent="0.3">
      <c r="A312">
        <v>13.75</v>
      </c>
      <c r="B312">
        <v>-38.08</v>
      </c>
    </row>
    <row r="313" spans="1:2" x14ac:dyDescent="0.3">
      <c r="A313">
        <v>13.75</v>
      </c>
      <c r="B313">
        <v>-38.39</v>
      </c>
    </row>
    <row r="314" spans="1:2" x14ac:dyDescent="0.3">
      <c r="A314">
        <v>13.8</v>
      </c>
      <c r="B314">
        <v>-38.39</v>
      </c>
    </row>
    <row r="315" spans="1:2" x14ac:dyDescent="0.3">
      <c r="A315">
        <v>13.8</v>
      </c>
      <c r="B315">
        <v>-39.46</v>
      </c>
    </row>
    <row r="316" spans="1:2" x14ac:dyDescent="0.3">
      <c r="A316">
        <v>13.85</v>
      </c>
      <c r="B316">
        <v>-39.46</v>
      </c>
    </row>
    <row r="317" spans="1:2" x14ac:dyDescent="0.3">
      <c r="A317">
        <v>13.85</v>
      </c>
      <c r="B317">
        <v>-40.11</v>
      </c>
    </row>
    <row r="318" spans="1:2" x14ac:dyDescent="0.3">
      <c r="A318">
        <v>13.9</v>
      </c>
      <c r="B318">
        <v>-40.11</v>
      </c>
    </row>
    <row r="319" spans="1:2" x14ac:dyDescent="0.3">
      <c r="A319">
        <v>13.9</v>
      </c>
      <c r="B319">
        <v>-39.71</v>
      </c>
    </row>
    <row r="320" spans="1:2" x14ac:dyDescent="0.3">
      <c r="A320">
        <v>13.95</v>
      </c>
      <c r="B320">
        <v>-39.71</v>
      </c>
    </row>
    <row r="321" spans="1:2" x14ac:dyDescent="0.3">
      <c r="A321">
        <v>13.95</v>
      </c>
      <c r="B321">
        <v>-38.25</v>
      </c>
    </row>
    <row r="322" spans="1:2" x14ac:dyDescent="0.3">
      <c r="A322">
        <v>14</v>
      </c>
      <c r="B322">
        <v>-38.25</v>
      </c>
    </row>
    <row r="323" spans="1:2" x14ac:dyDescent="0.3">
      <c r="A323">
        <v>14</v>
      </c>
      <c r="B323">
        <v>-38.14</v>
      </c>
    </row>
    <row r="324" spans="1:2" x14ac:dyDescent="0.3">
      <c r="A324">
        <v>14.05</v>
      </c>
      <c r="B324">
        <v>-38.14</v>
      </c>
    </row>
    <row r="325" spans="1:2" x14ac:dyDescent="0.3">
      <c r="A325">
        <v>14.05</v>
      </c>
      <c r="B325">
        <v>-37.89</v>
      </c>
    </row>
    <row r="326" spans="1:2" x14ac:dyDescent="0.3">
      <c r="A326">
        <v>14.1</v>
      </c>
      <c r="B326">
        <v>-37.89</v>
      </c>
    </row>
    <row r="327" spans="1:2" x14ac:dyDescent="0.3">
      <c r="A327">
        <v>14.1</v>
      </c>
      <c r="B327">
        <v>-37.590000000000003</v>
      </c>
    </row>
    <row r="328" spans="1:2" x14ac:dyDescent="0.3">
      <c r="A328">
        <v>14.15</v>
      </c>
      <c r="B328">
        <v>-37.590000000000003</v>
      </c>
    </row>
    <row r="329" spans="1:2" x14ac:dyDescent="0.3">
      <c r="A329">
        <v>14.15</v>
      </c>
      <c r="B329">
        <v>-37.21</v>
      </c>
    </row>
    <row r="330" spans="1:2" x14ac:dyDescent="0.3">
      <c r="A330">
        <v>14.2</v>
      </c>
      <c r="B330">
        <v>-37.21</v>
      </c>
    </row>
    <row r="331" spans="1:2" x14ac:dyDescent="0.3">
      <c r="A331">
        <v>14.2</v>
      </c>
      <c r="B331">
        <v>-37.17</v>
      </c>
    </row>
    <row r="332" spans="1:2" x14ac:dyDescent="0.3">
      <c r="A332">
        <v>14.25</v>
      </c>
      <c r="B332">
        <v>-37.17</v>
      </c>
    </row>
    <row r="333" spans="1:2" x14ac:dyDescent="0.3">
      <c r="A333">
        <v>14.25</v>
      </c>
      <c r="B333">
        <v>-36.950000000000003</v>
      </c>
    </row>
    <row r="334" spans="1:2" x14ac:dyDescent="0.3">
      <c r="A334">
        <v>14.3</v>
      </c>
      <c r="B334">
        <v>-36.950000000000003</v>
      </c>
    </row>
    <row r="335" spans="1:2" x14ac:dyDescent="0.3">
      <c r="A335">
        <v>14.3</v>
      </c>
      <c r="B335">
        <v>-37.29</v>
      </c>
    </row>
    <row r="336" spans="1:2" x14ac:dyDescent="0.3">
      <c r="A336">
        <v>14.35</v>
      </c>
      <c r="B336">
        <v>-37.29</v>
      </c>
    </row>
    <row r="337" spans="1:2" x14ac:dyDescent="0.3">
      <c r="A337">
        <v>14.35</v>
      </c>
      <c r="B337">
        <v>-36.26</v>
      </c>
    </row>
    <row r="338" spans="1:2" x14ac:dyDescent="0.3">
      <c r="A338">
        <v>14.4</v>
      </c>
      <c r="B338">
        <v>-36.26</v>
      </c>
    </row>
    <row r="339" spans="1:2" x14ac:dyDescent="0.3">
      <c r="A339">
        <v>14.4</v>
      </c>
      <c r="B339">
        <v>-36.25</v>
      </c>
    </row>
    <row r="340" spans="1:2" x14ac:dyDescent="0.3">
      <c r="A340">
        <v>14.45</v>
      </c>
      <c r="B340">
        <v>-36.25</v>
      </c>
    </row>
    <row r="341" spans="1:2" x14ac:dyDescent="0.3">
      <c r="A341">
        <v>14.45</v>
      </c>
      <c r="B341">
        <v>-36.4</v>
      </c>
    </row>
    <row r="342" spans="1:2" x14ac:dyDescent="0.3">
      <c r="A342">
        <v>14.5</v>
      </c>
      <c r="B342">
        <v>-36.4</v>
      </c>
    </row>
    <row r="343" spans="1:2" x14ac:dyDescent="0.3">
      <c r="A343">
        <v>14.5</v>
      </c>
      <c r="B343">
        <v>-37.47</v>
      </c>
    </row>
    <row r="344" spans="1:2" x14ac:dyDescent="0.3">
      <c r="A344">
        <v>14.55</v>
      </c>
      <c r="B344">
        <v>-37.47</v>
      </c>
    </row>
    <row r="345" spans="1:2" x14ac:dyDescent="0.3">
      <c r="A345">
        <v>14.55</v>
      </c>
      <c r="B345">
        <v>-40.06</v>
      </c>
    </row>
    <row r="346" spans="1:2" x14ac:dyDescent="0.3">
      <c r="A346">
        <v>14.6</v>
      </c>
      <c r="B346">
        <v>-40.06</v>
      </c>
    </row>
    <row r="347" spans="1:2" x14ac:dyDescent="0.3">
      <c r="A347">
        <v>14.6</v>
      </c>
      <c r="B347">
        <v>-41.75</v>
      </c>
    </row>
    <row r="348" spans="1:2" x14ac:dyDescent="0.3">
      <c r="A348">
        <v>14.65</v>
      </c>
      <c r="B348">
        <v>-41.75</v>
      </c>
    </row>
    <row r="349" spans="1:2" x14ac:dyDescent="0.3">
      <c r="A349">
        <v>14.65</v>
      </c>
      <c r="B349">
        <v>-40.58</v>
      </c>
    </row>
    <row r="350" spans="1:2" x14ac:dyDescent="0.3">
      <c r="A350">
        <v>14.7</v>
      </c>
      <c r="B350">
        <v>-40.58</v>
      </c>
    </row>
    <row r="351" spans="1:2" x14ac:dyDescent="0.3">
      <c r="A351">
        <v>14.7</v>
      </c>
      <c r="B351">
        <v>-41.6</v>
      </c>
    </row>
    <row r="352" spans="1:2" x14ac:dyDescent="0.3">
      <c r="A352">
        <v>14.75</v>
      </c>
      <c r="B352">
        <v>-41.6</v>
      </c>
    </row>
    <row r="353" spans="1:2" x14ac:dyDescent="0.3">
      <c r="A353">
        <v>14.75</v>
      </c>
      <c r="B353">
        <v>-41.13</v>
      </c>
    </row>
    <row r="354" spans="1:2" x14ac:dyDescent="0.3">
      <c r="A354">
        <v>14.8</v>
      </c>
      <c r="B354">
        <v>-41.13</v>
      </c>
    </row>
    <row r="355" spans="1:2" x14ac:dyDescent="0.3">
      <c r="A355">
        <v>14.8</v>
      </c>
      <c r="B355">
        <v>-41.56</v>
      </c>
    </row>
    <row r="356" spans="1:2" x14ac:dyDescent="0.3">
      <c r="A356">
        <v>14.85</v>
      </c>
      <c r="B356">
        <v>-41.56</v>
      </c>
    </row>
    <row r="357" spans="1:2" x14ac:dyDescent="0.3">
      <c r="A357">
        <v>14.85</v>
      </c>
      <c r="B357">
        <v>-42.31</v>
      </c>
    </row>
    <row r="358" spans="1:2" x14ac:dyDescent="0.3">
      <c r="A358">
        <v>14.9</v>
      </c>
      <c r="B358">
        <v>-42.31</v>
      </c>
    </row>
    <row r="359" spans="1:2" x14ac:dyDescent="0.3">
      <c r="A359">
        <v>14.9</v>
      </c>
      <c r="B359">
        <v>-42.03</v>
      </c>
    </row>
    <row r="360" spans="1:2" x14ac:dyDescent="0.3">
      <c r="A360">
        <v>14.95</v>
      </c>
      <c r="B360">
        <v>-42.03</v>
      </c>
    </row>
    <row r="361" spans="1:2" x14ac:dyDescent="0.3">
      <c r="A361">
        <v>14.95</v>
      </c>
      <c r="B361">
        <v>-42.06</v>
      </c>
    </row>
    <row r="362" spans="1:2" x14ac:dyDescent="0.3">
      <c r="A362">
        <v>15</v>
      </c>
      <c r="B362">
        <v>-42.06</v>
      </c>
    </row>
    <row r="363" spans="1:2" x14ac:dyDescent="0.3">
      <c r="A363">
        <v>15</v>
      </c>
      <c r="B363">
        <v>-42.01</v>
      </c>
    </row>
    <row r="364" spans="1:2" x14ac:dyDescent="0.3">
      <c r="A364">
        <v>15.05</v>
      </c>
      <c r="B364">
        <v>-42.01</v>
      </c>
    </row>
    <row r="365" spans="1:2" x14ac:dyDescent="0.3">
      <c r="A365">
        <v>15.05</v>
      </c>
      <c r="B365">
        <v>-42.23</v>
      </c>
    </row>
    <row r="366" spans="1:2" x14ac:dyDescent="0.3">
      <c r="A366">
        <v>15.1</v>
      </c>
      <c r="B366">
        <v>-42.23</v>
      </c>
    </row>
    <row r="367" spans="1:2" x14ac:dyDescent="0.3">
      <c r="A367">
        <v>15.1</v>
      </c>
      <c r="B367">
        <v>-42.55</v>
      </c>
    </row>
    <row r="368" spans="1:2" x14ac:dyDescent="0.3">
      <c r="A368">
        <v>15.15</v>
      </c>
      <c r="B368">
        <v>-42.55</v>
      </c>
    </row>
    <row r="369" spans="1:2" x14ac:dyDescent="0.3">
      <c r="A369">
        <v>15.15</v>
      </c>
      <c r="B369">
        <v>-40.78</v>
      </c>
    </row>
    <row r="370" spans="1:2" x14ac:dyDescent="0.3">
      <c r="A370">
        <v>15.2</v>
      </c>
      <c r="B370">
        <v>-40.78</v>
      </c>
    </row>
    <row r="371" spans="1:2" x14ac:dyDescent="0.3">
      <c r="A371">
        <v>15.2</v>
      </c>
      <c r="B371">
        <v>-42.38</v>
      </c>
    </row>
    <row r="372" spans="1:2" x14ac:dyDescent="0.3">
      <c r="A372">
        <v>15.25</v>
      </c>
      <c r="B372">
        <v>-42.38</v>
      </c>
    </row>
    <row r="373" spans="1:2" x14ac:dyDescent="0.3">
      <c r="A373">
        <v>15.25</v>
      </c>
      <c r="B373">
        <v>-42</v>
      </c>
    </row>
    <row r="374" spans="1:2" x14ac:dyDescent="0.3">
      <c r="A374">
        <v>15.3</v>
      </c>
      <c r="B374">
        <v>-42</v>
      </c>
    </row>
    <row r="375" spans="1:2" x14ac:dyDescent="0.3">
      <c r="A375">
        <v>15.3</v>
      </c>
      <c r="B375">
        <v>-42.55</v>
      </c>
    </row>
    <row r="376" spans="1:2" x14ac:dyDescent="0.3">
      <c r="A376">
        <v>15.35</v>
      </c>
      <c r="B376">
        <v>-42.55</v>
      </c>
    </row>
    <row r="377" spans="1:2" x14ac:dyDescent="0.3">
      <c r="A377">
        <v>15.35</v>
      </c>
      <c r="B377">
        <v>-43.48</v>
      </c>
    </row>
    <row r="378" spans="1:2" x14ac:dyDescent="0.3">
      <c r="A378">
        <v>15.4</v>
      </c>
      <c r="B378">
        <v>-43.48</v>
      </c>
    </row>
    <row r="379" spans="1:2" x14ac:dyDescent="0.3">
      <c r="A379">
        <v>15.4</v>
      </c>
      <c r="B379">
        <v>-42.76</v>
      </c>
    </row>
    <row r="380" spans="1:2" x14ac:dyDescent="0.3">
      <c r="A380">
        <v>15.45</v>
      </c>
      <c r="B380">
        <v>-42.76</v>
      </c>
    </row>
    <row r="381" spans="1:2" x14ac:dyDescent="0.3">
      <c r="A381">
        <v>15.45</v>
      </c>
      <c r="B381">
        <v>-41.94</v>
      </c>
    </row>
    <row r="382" spans="1:2" x14ac:dyDescent="0.3">
      <c r="A382">
        <v>15.5</v>
      </c>
      <c r="B382">
        <v>-41.94</v>
      </c>
    </row>
    <row r="383" spans="1:2" x14ac:dyDescent="0.3">
      <c r="A383">
        <v>15.5</v>
      </c>
      <c r="B383">
        <v>-43.63</v>
      </c>
    </row>
    <row r="384" spans="1:2" x14ac:dyDescent="0.3">
      <c r="A384">
        <v>15.55</v>
      </c>
      <c r="B384">
        <v>-43.63</v>
      </c>
    </row>
    <row r="385" spans="1:2" x14ac:dyDescent="0.3">
      <c r="A385">
        <v>15.55</v>
      </c>
      <c r="B385">
        <v>-43.29</v>
      </c>
    </row>
    <row r="386" spans="1:2" x14ac:dyDescent="0.3">
      <c r="A386">
        <v>15.6</v>
      </c>
      <c r="B386">
        <v>-43.29</v>
      </c>
    </row>
    <row r="387" spans="1:2" x14ac:dyDescent="0.3">
      <c r="A387">
        <v>15.6</v>
      </c>
      <c r="B387">
        <v>-41.41</v>
      </c>
    </row>
    <row r="388" spans="1:2" x14ac:dyDescent="0.3">
      <c r="A388">
        <v>15.65</v>
      </c>
      <c r="B388">
        <v>-41.41</v>
      </c>
    </row>
    <row r="389" spans="1:2" x14ac:dyDescent="0.3">
      <c r="A389">
        <v>15.65</v>
      </c>
      <c r="B389">
        <v>-41.92</v>
      </c>
    </row>
    <row r="390" spans="1:2" x14ac:dyDescent="0.3">
      <c r="A390">
        <v>15.7</v>
      </c>
      <c r="B390">
        <v>-41.92</v>
      </c>
    </row>
    <row r="391" spans="1:2" x14ac:dyDescent="0.3">
      <c r="A391">
        <v>15.7</v>
      </c>
      <c r="B391">
        <v>-41.69</v>
      </c>
    </row>
    <row r="392" spans="1:2" x14ac:dyDescent="0.3">
      <c r="A392">
        <v>15.75</v>
      </c>
      <c r="B392">
        <v>-41.69</v>
      </c>
    </row>
    <row r="393" spans="1:2" x14ac:dyDescent="0.3">
      <c r="A393">
        <v>15.75</v>
      </c>
      <c r="B393">
        <v>-41.88</v>
      </c>
    </row>
    <row r="394" spans="1:2" x14ac:dyDescent="0.3">
      <c r="A394">
        <v>15.8</v>
      </c>
      <c r="B394">
        <v>-41.88</v>
      </c>
    </row>
    <row r="395" spans="1:2" x14ac:dyDescent="0.3">
      <c r="A395">
        <v>15.8</v>
      </c>
      <c r="B395">
        <v>-41.53</v>
      </c>
    </row>
    <row r="396" spans="1:2" x14ac:dyDescent="0.3">
      <c r="A396">
        <v>15.85</v>
      </c>
      <c r="B396">
        <v>-41.53</v>
      </c>
    </row>
    <row r="397" spans="1:2" x14ac:dyDescent="0.3">
      <c r="A397">
        <v>15.85</v>
      </c>
      <c r="B397">
        <v>-43.56</v>
      </c>
    </row>
    <row r="398" spans="1:2" x14ac:dyDescent="0.3">
      <c r="A398">
        <v>15.9</v>
      </c>
      <c r="B398">
        <v>-43.56</v>
      </c>
    </row>
    <row r="399" spans="1:2" x14ac:dyDescent="0.3">
      <c r="A399">
        <v>15.9</v>
      </c>
      <c r="B399">
        <v>-42.18</v>
      </c>
    </row>
    <row r="400" spans="1:2" x14ac:dyDescent="0.3">
      <c r="A400">
        <v>15.95</v>
      </c>
      <c r="B400">
        <v>-42.18</v>
      </c>
    </row>
    <row r="401" spans="1:2" x14ac:dyDescent="0.3">
      <c r="A401">
        <v>15.95</v>
      </c>
      <c r="B401">
        <v>-42.41</v>
      </c>
    </row>
    <row r="402" spans="1:2" x14ac:dyDescent="0.3">
      <c r="A402">
        <v>16</v>
      </c>
      <c r="B402">
        <v>-42.41</v>
      </c>
    </row>
    <row r="403" spans="1:2" x14ac:dyDescent="0.3">
      <c r="A403">
        <v>16</v>
      </c>
      <c r="B403">
        <v>-41.45</v>
      </c>
    </row>
    <row r="404" spans="1:2" x14ac:dyDescent="0.3">
      <c r="A404">
        <v>16.05</v>
      </c>
      <c r="B404">
        <v>-41.45</v>
      </c>
    </row>
    <row r="405" spans="1:2" x14ac:dyDescent="0.3">
      <c r="A405">
        <v>16.05</v>
      </c>
      <c r="B405">
        <v>-42.01</v>
      </c>
    </row>
    <row r="406" spans="1:2" x14ac:dyDescent="0.3">
      <c r="A406">
        <v>16.100000000000001</v>
      </c>
      <c r="B406">
        <v>-42.01</v>
      </c>
    </row>
    <row r="407" spans="1:2" x14ac:dyDescent="0.3">
      <c r="A407">
        <v>16.100000000000001</v>
      </c>
      <c r="B407">
        <v>-41.61</v>
      </c>
    </row>
    <row r="408" spans="1:2" x14ac:dyDescent="0.3">
      <c r="A408">
        <v>16.149999999999999</v>
      </c>
      <c r="B408">
        <v>-41.61</v>
      </c>
    </row>
    <row r="409" spans="1:2" x14ac:dyDescent="0.3">
      <c r="A409">
        <v>16.149999999999999</v>
      </c>
      <c r="B409">
        <v>-41.68</v>
      </c>
    </row>
    <row r="410" spans="1:2" x14ac:dyDescent="0.3">
      <c r="A410">
        <v>16.2</v>
      </c>
      <c r="B410">
        <v>-41.68</v>
      </c>
    </row>
    <row r="411" spans="1:2" x14ac:dyDescent="0.3">
      <c r="A411">
        <v>16.2</v>
      </c>
      <c r="B411">
        <v>-40.799999999999997</v>
      </c>
    </row>
    <row r="412" spans="1:2" x14ac:dyDescent="0.3">
      <c r="A412">
        <v>16.25</v>
      </c>
      <c r="B412">
        <v>-40.799999999999997</v>
      </c>
    </row>
    <row r="413" spans="1:2" x14ac:dyDescent="0.3">
      <c r="A413">
        <v>16.25</v>
      </c>
      <c r="B413">
        <v>-41</v>
      </c>
    </row>
    <row r="414" spans="1:2" x14ac:dyDescent="0.3">
      <c r="A414">
        <v>16.3</v>
      </c>
      <c r="B414">
        <v>-41</v>
      </c>
    </row>
    <row r="415" spans="1:2" x14ac:dyDescent="0.3">
      <c r="A415">
        <v>16.3</v>
      </c>
      <c r="B415">
        <v>-41.82</v>
      </c>
    </row>
    <row r="416" spans="1:2" x14ac:dyDescent="0.3">
      <c r="A416">
        <v>16.350000000000001</v>
      </c>
      <c r="B416">
        <v>-41.82</v>
      </c>
    </row>
    <row r="417" spans="1:2" x14ac:dyDescent="0.3">
      <c r="A417">
        <v>16.350000000000001</v>
      </c>
      <c r="B417">
        <v>-41.36</v>
      </c>
    </row>
    <row r="418" spans="1:2" x14ac:dyDescent="0.3">
      <c r="A418">
        <v>16.399999999999999</v>
      </c>
      <c r="B418">
        <v>-41.36</v>
      </c>
    </row>
    <row r="419" spans="1:2" x14ac:dyDescent="0.3">
      <c r="A419">
        <v>16.399999999999999</v>
      </c>
      <c r="B419">
        <v>-41.17</v>
      </c>
    </row>
    <row r="420" spans="1:2" x14ac:dyDescent="0.3">
      <c r="A420">
        <v>16.45</v>
      </c>
      <c r="B420">
        <v>-41.17</v>
      </c>
    </row>
    <row r="421" spans="1:2" x14ac:dyDescent="0.3">
      <c r="A421">
        <v>16.45</v>
      </c>
      <c r="B421">
        <v>-40.44</v>
      </c>
    </row>
    <row r="422" spans="1:2" x14ac:dyDescent="0.3">
      <c r="A422">
        <v>16.5</v>
      </c>
      <c r="B422">
        <v>-40.44</v>
      </c>
    </row>
    <row r="423" spans="1:2" x14ac:dyDescent="0.3">
      <c r="A423">
        <v>16.5</v>
      </c>
      <c r="B423">
        <v>-40.31</v>
      </c>
    </row>
    <row r="424" spans="1:2" x14ac:dyDescent="0.3">
      <c r="A424">
        <v>16.55</v>
      </c>
      <c r="B424">
        <v>-40.31</v>
      </c>
    </row>
    <row r="425" spans="1:2" x14ac:dyDescent="0.3">
      <c r="A425">
        <v>16.55</v>
      </c>
      <c r="B425">
        <v>-41.9</v>
      </c>
    </row>
    <row r="426" spans="1:2" x14ac:dyDescent="0.3">
      <c r="A426">
        <v>16.600000000000001</v>
      </c>
      <c r="B426">
        <v>-41.9</v>
      </c>
    </row>
    <row r="427" spans="1:2" x14ac:dyDescent="0.3">
      <c r="A427">
        <v>16.600000000000001</v>
      </c>
      <c r="B427">
        <v>-41.28</v>
      </c>
    </row>
    <row r="428" spans="1:2" x14ac:dyDescent="0.3">
      <c r="A428">
        <v>16.649999999999999</v>
      </c>
      <c r="B428">
        <v>-41.28</v>
      </c>
    </row>
    <row r="429" spans="1:2" x14ac:dyDescent="0.3">
      <c r="A429">
        <v>16.649999999999999</v>
      </c>
      <c r="B429">
        <v>-40.42</v>
      </c>
    </row>
    <row r="430" spans="1:2" x14ac:dyDescent="0.3">
      <c r="A430">
        <v>16.7</v>
      </c>
      <c r="B430">
        <v>-40.42</v>
      </c>
    </row>
    <row r="431" spans="1:2" x14ac:dyDescent="0.3">
      <c r="A431">
        <v>16.7</v>
      </c>
      <c r="B431">
        <v>-40.42</v>
      </c>
    </row>
    <row r="432" spans="1:2" x14ac:dyDescent="0.3">
      <c r="A432">
        <v>16.75</v>
      </c>
      <c r="B432">
        <v>-40.42</v>
      </c>
    </row>
    <row r="433" spans="1:2" x14ac:dyDescent="0.3">
      <c r="A433">
        <v>16.75</v>
      </c>
      <c r="B433">
        <v>-40.450000000000003</v>
      </c>
    </row>
    <row r="434" spans="1:2" x14ac:dyDescent="0.3">
      <c r="A434">
        <v>16.8</v>
      </c>
      <c r="B434">
        <v>-40.450000000000003</v>
      </c>
    </row>
    <row r="435" spans="1:2" x14ac:dyDescent="0.3">
      <c r="A435">
        <v>16.8</v>
      </c>
      <c r="B435">
        <v>-40.99</v>
      </c>
    </row>
    <row r="436" spans="1:2" x14ac:dyDescent="0.3">
      <c r="A436">
        <v>16.850000000000001</v>
      </c>
      <c r="B436">
        <v>-40.99</v>
      </c>
    </row>
    <row r="437" spans="1:2" x14ac:dyDescent="0.3">
      <c r="A437">
        <v>16.850000000000001</v>
      </c>
      <c r="B437">
        <v>-40.76</v>
      </c>
    </row>
    <row r="438" spans="1:2" x14ac:dyDescent="0.3">
      <c r="A438">
        <v>16.899999999999999</v>
      </c>
      <c r="B438">
        <v>-40.76</v>
      </c>
    </row>
    <row r="439" spans="1:2" x14ac:dyDescent="0.3">
      <c r="A439">
        <v>16.899999999999999</v>
      </c>
      <c r="B439">
        <v>-41.02</v>
      </c>
    </row>
    <row r="440" spans="1:2" x14ac:dyDescent="0.3">
      <c r="A440">
        <v>16.95</v>
      </c>
      <c r="B440">
        <v>-41.02</v>
      </c>
    </row>
    <row r="441" spans="1:2" x14ac:dyDescent="0.3">
      <c r="A441">
        <v>16.95</v>
      </c>
      <c r="B441">
        <v>-42.02</v>
      </c>
    </row>
    <row r="442" spans="1:2" x14ac:dyDescent="0.3">
      <c r="A442">
        <v>17</v>
      </c>
      <c r="B442">
        <v>-42.02</v>
      </c>
    </row>
    <row r="443" spans="1:2" x14ac:dyDescent="0.3">
      <c r="A443">
        <v>17</v>
      </c>
      <c r="B443">
        <v>-41.14</v>
      </c>
    </row>
    <row r="444" spans="1:2" x14ac:dyDescent="0.3">
      <c r="A444">
        <v>17.05</v>
      </c>
      <c r="B444">
        <v>-41.14</v>
      </c>
    </row>
    <row r="445" spans="1:2" x14ac:dyDescent="0.3">
      <c r="A445">
        <v>17.05</v>
      </c>
      <c r="B445">
        <v>-40.270000000000003</v>
      </c>
    </row>
    <row r="446" spans="1:2" x14ac:dyDescent="0.3">
      <c r="A446">
        <v>17.100000000000001</v>
      </c>
      <c r="B446">
        <v>-40.270000000000003</v>
      </c>
    </row>
    <row r="447" spans="1:2" x14ac:dyDescent="0.3">
      <c r="A447">
        <v>17.100000000000001</v>
      </c>
      <c r="B447">
        <v>-40.18</v>
      </c>
    </row>
    <row r="448" spans="1:2" x14ac:dyDescent="0.3">
      <c r="A448">
        <v>17.149999999999999</v>
      </c>
      <c r="B448">
        <v>-40.18</v>
      </c>
    </row>
    <row r="449" spans="1:2" x14ac:dyDescent="0.3">
      <c r="A449">
        <v>17.149999999999999</v>
      </c>
      <c r="B449">
        <v>-41.44</v>
      </c>
    </row>
    <row r="450" spans="1:2" x14ac:dyDescent="0.3">
      <c r="A450">
        <v>17.2</v>
      </c>
      <c r="B450">
        <v>-41.44</v>
      </c>
    </row>
    <row r="451" spans="1:2" x14ac:dyDescent="0.3">
      <c r="A451">
        <v>17.2</v>
      </c>
      <c r="B451">
        <v>-40.659999999999997</v>
      </c>
    </row>
    <row r="452" spans="1:2" x14ac:dyDescent="0.3">
      <c r="A452">
        <v>17.25</v>
      </c>
      <c r="B452">
        <v>-40.659999999999997</v>
      </c>
    </row>
    <row r="453" spans="1:2" x14ac:dyDescent="0.3">
      <c r="A453">
        <v>17.25</v>
      </c>
      <c r="B453">
        <v>-41.15</v>
      </c>
    </row>
    <row r="454" spans="1:2" x14ac:dyDescent="0.3">
      <c r="A454">
        <v>17.3</v>
      </c>
      <c r="B454">
        <v>-41.15</v>
      </c>
    </row>
    <row r="455" spans="1:2" x14ac:dyDescent="0.3">
      <c r="A455">
        <v>17.3</v>
      </c>
      <c r="B455">
        <v>-41.88</v>
      </c>
    </row>
    <row r="456" spans="1:2" x14ac:dyDescent="0.3">
      <c r="A456">
        <v>17.350000000000001</v>
      </c>
      <c r="B456">
        <v>-41.88</v>
      </c>
    </row>
    <row r="457" spans="1:2" x14ac:dyDescent="0.3">
      <c r="A457">
        <v>17.350000000000001</v>
      </c>
      <c r="B457">
        <v>-42.16</v>
      </c>
    </row>
    <row r="458" spans="1:2" x14ac:dyDescent="0.3">
      <c r="A458">
        <v>17.399999999999999</v>
      </c>
      <c r="B458">
        <v>-42.16</v>
      </c>
    </row>
    <row r="459" spans="1:2" x14ac:dyDescent="0.3">
      <c r="A459">
        <v>17.399999999999999</v>
      </c>
      <c r="B459">
        <v>-42.6</v>
      </c>
    </row>
    <row r="460" spans="1:2" x14ac:dyDescent="0.3">
      <c r="A460">
        <v>17.45</v>
      </c>
      <c r="B460">
        <v>-42.6</v>
      </c>
    </row>
    <row r="461" spans="1:2" x14ac:dyDescent="0.3">
      <c r="A461">
        <v>17.45</v>
      </c>
      <c r="B461">
        <v>-41.8</v>
      </c>
    </row>
    <row r="462" spans="1:2" x14ac:dyDescent="0.3">
      <c r="A462">
        <v>17.5</v>
      </c>
      <c r="B462">
        <v>-41.8</v>
      </c>
    </row>
    <row r="463" spans="1:2" x14ac:dyDescent="0.3">
      <c r="A463">
        <v>17.5</v>
      </c>
      <c r="B463">
        <v>-42.53</v>
      </c>
    </row>
    <row r="464" spans="1:2" x14ac:dyDescent="0.3">
      <c r="A464">
        <v>17.55</v>
      </c>
      <c r="B464">
        <v>-42.53</v>
      </c>
    </row>
    <row r="465" spans="1:2" x14ac:dyDescent="0.3">
      <c r="A465">
        <v>17.55</v>
      </c>
      <c r="B465">
        <v>-41.83</v>
      </c>
    </row>
    <row r="466" spans="1:2" x14ac:dyDescent="0.3">
      <c r="A466">
        <v>17.600000000000001</v>
      </c>
      <c r="B466">
        <v>-41.83</v>
      </c>
    </row>
    <row r="467" spans="1:2" x14ac:dyDescent="0.3">
      <c r="A467">
        <v>17.600000000000001</v>
      </c>
      <c r="B467">
        <v>-41.35</v>
      </c>
    </row>
    <row r="468" spans="1:2" x14ac:dyDescent="0.3">
      <c r="A468">
        <v>17.649999999999999</v>
      </c>
      <c r="B468">
        <v>-41.35</v>
      </c>
    </row>
    <row r="469" spans="1:2" x14ac:dyDescent="0.3">
      <c r="A469">
        <v>17.649999999999999</v>
      </c>
      <c r="B469">
        <v>-42.07</v>
      </c>
    </row>
    <row r="470" spans="1:2" x14ac:dyDescent="0.3">
      <c r="A470">
        <v>17.7</v>
      </c>
      <c r="B470">
        <v>-42.07</v>
      </c>
    </row>
    <row r="471" spans="1:2" x14ac:dyDescent="0.3">
      <c r="A471">
        <v>17.7</v>
      </c>
      <c r="B471">
        <v>-42.47</v>
      </c>
    </row>
    <row r="472" spans="1:2" x14ac:dyDescent="0.3">
      <c r="A472">
        <v>17.75</v>
      </c>
      <c r="B472">
        <v>-42.47</v>
      </c>
    </row>
    <row r="473" spans="1:2" x14ac:dyDescent="0.3">
      <c r="A473">
        <v>17.75</v>
      </c>
      <c r="B473">
        <v>-42.63</v>
      </c>
    </row>
    <row r="474" spans="1:2" x14ac:dyDescent="0.3">
      <c r="A474">
        <v>17.8</v>
      </c>
      <c r="B474">
        <v>-42.63</v>
      </c>
    </row>
    <row r="475" spans="1:2" x14ac:dyDescent="0.3">
      <c r="A475">
        <v>17.8</v>
      </c>
      <c r="B475">
        <v>-42.35</v>
      </c>
    </row>
    <row r="476" spans="1:2" x14ac:dyDescent="0.3">
      <c r="A476">
        <v>17.850000000000001</v>
      </c>
      <c r="B476">
        <v>-42.35</v>
      </c>
    </row>
    <row r="477" spans="1:2" x14ac:dyDescent="0.3">
      <c r="A477">
        <v>17.850000000000001</v>
      </c>
      <c r="B477">
        <v>-42.25</v>
      </c>
    </row>
    <row r="478" spans="1:2" x14ac:dyDescent="0.3">
      <c r="A478">
        <v>17.899999999999999</v>
      </c>
      <c r="B478">
        <v>-42.25</v>
      </c>
    </row>
    <row r="479" spans="1:2" x14ac:dyDescent="0.3">
      <c r="A479">
        <v>17.899999999999999</v>
      </c>
      <c r="B479">
        <v>-41.69</v>
      </c>
    </row>
    <row r="480" spans="1:2" x14ac:dyDescent="0.3">
      <c r="A480">
        <v>17.95</v>
      </c>
      <c r="B480">
        <v>-41.69</v>
      </c>
    </row>
    <row r="481" spans="1:2" x14ac:dyDescent="0.3">
      <c r="A481">
        <v>17.95</v>
      </c>
      <c r="B481">
        <v>-40.729999999999997</v>
      </c>
    </row>
    <row r="482" spans="1:2" x14ac:dyDescent="0.3">
      <c r="A482">
        <v>18</v>
      </c>
      <c r="B482">
        <v>-40.729999999999997</v>
      </c>
    </row>
    <row r="483" spans="1:2" x14ac:dyDescent="0.3">
      <c r="A483">
        <v>18</v>
      </c>
      <c r="B483">
        <v>-41.66</v>
      </c>
    </row>
    <row r="484" spans="1:2" x14ac:dyDescent="0.3">
      <c r="A484">
        <v>18.05</v>
      </c>
      <c r="B484">
        <v>-41.66</v>
      </c>
    </row>
    <row r="485" spans="1:2" x14ac:dyDescent="0.3">
      <c r="A485">
        <v>18.05</v>
      </c>
      <c r="B485">
        <v>-40.93</v>
      </c>
    </row>
    <row r="486" spans="1:2" x14ac:dyDescent="0.3">
      <c r="A486">
        <v>18.100000000000001</v>
      </c>
      <c r="B486">
        <v>-40.93</v>
      </c>
    </row>
    <row r="487" spans="1:2" x14ac:dyDescent="0.3">
      <c r="A487">
        <v>18.100000000000001</v>
      </c>
      <c r="B487">
        <v>-41.45</v>
      </c>
    </row>
    <row r="488" spans="1:2" x14ac:dyDescent="0.3">
      <c r="A488">
        <v>18.149999999999999</v>
      </c>
      <c r="B488">
        <v>-41.45</v>
      </c>
    </row>
    <row r="489" spans="1:2" x14ac:dyDescent="0.3">
      <c r="A489">
        <v>18.149999999999999</v>
      </c>
      <c r="B489">
        <v>-42.09</v>
      </c>
    </row>
    <row r="490" spans="1:2" x14ac:dyDescent="0.3">
      <c r="A490">
        <v>18.2</v>
      </c>
      <c r="B490">
        <v>-42.09</v>
      </c>
    </row>
    <row r="491" spans="1:2" x14ac:dyDescent="0.3">
      <c r="A491">
        <v>18.2</v>
      </c>
      <c r="B491">
        <v>-41.28</v>
      </c>
    </row>
    <row r="492" spans="1:2" x14ac:dyDescent="0.3">
      <c r="A492">
        <v>18.25</v>
      </c>
      <c r="B492">
        <v>-41.28</v>
      </c>
    </row>
    <row r="493" spans="1:2" x14ac:dyDescent="0.3">
      <c r="A493">
        <v>18.25</v>
      </c>
      <c r="B493">
        <v>-41.04</v>
      </c>
    </row>
    <row r="494" spans="1:2" x14ac:dyDescent="0.3">
      <c r="A494">
        <v>18.3</v>
      </c>
      <c r="B494">
        <v>-41.04</v>
      </c>
    </row>
    <row r="495" spans="1:2" x14ac:dyDescent="0.3">
      <c r="A495">
        <v>18.3</v>
      </c>
      <c r="B495">
        <v>-41.89</v>
      </c>
    </row>
    <row r="496" spans="1:2" x14ac:dyDescent="0.3">
      <c r="A496">
        <v>18.350000000000001</v>
      </c>
      <c r="B496">
        <v>-41.89</v>
      </c>
    </row>
    <row r="497" spans="1:2" x14ac:dyDescent="0.3">
      <c r="A497">
        <v>18.350000000000001</v>
      </c>
      <c r="B497">
        <v>-41.32</v>
      </c>
    </row>
    <row r="498" spans="1:2" x14ac:dyDescent="0.3">
      <c r="A498">
        <v>18.399999999999999</v>
      </c>
      <c r="B498">
        <v>-41.32</v>
      </c>
    </row>
    <row r="499" spans="1:2" x14ac:dyDescent="0.3">
      <c r="A499">
        <v>18.399999999999999</v>
      </c>
      <c r="B499">
        <v>-42.19</v>
      </c>
    </row>
    <row r="500" spans="1:2" x14ac:dyDescent="0.3">
      <c r="A500">
        <v>18.45</v>
      </c>
      <c r="B500">
        <v>-42.19</v>
      </c>
    </row>
    <row r="501" spans="1:2" x14ac:dyDescent="0.3">
      <c r="A501">
        <v>18.45</v>
      </c>
      <c r="B501">
        <v>-41.71</v>
      </c>
    </row>
    <row r="502" spans="1:2" x14ac:dyDescent="0.3">
      <c r="A502">
        <v>18.5</v>
      </c>
      <c r="B502">
        <v>-41.71</v>
      </c>
    </row>
    <row r="503" spans="1:2" x14ac:dyDescent="0.3">
      <c r="A503">
        <v>18.5</v>
      </c>
      <c r="B503">
        <v>-42.34</v>
      </c>
    </row>
    <row r="504" spans="1:2" x14ac:dyDescent="0.3">
      <c r="A504">
        <v>18.55</v>
      </c>
      <c r="B504">
        <v>-42.34</v>
      </c>
    </row>
    <row r="505" spans="1:2" x14ac:dyDescent="0.3">
      <c r="A505">
        <v>18.55</v>
      </c>
      <c r="B505">
        <v>-42.48</v>
      </c>
    </row>
    <row r="506" spans="1:2" x14ac:dyDescent="0.3">
      <c r="A506">
        <v>18.600000000000001</v>
      </c>
      <c r="B506">
        <v>-42.48</v>
      </c>
    </row>
    <row r="507" spans="1:2" x14ac:dyDescent="0.3">
      <c r="A507">
        <v>18.600000000000001</v>
      </c>
      <c r="B507">
        <v>-42.31</v>
      </c>
    </row>
    <row r="508" spans="1:2" x14ac:dyDescent="0.3">
      <c r="A508">
        <v>18.649999999999999</v>
      </c>
      <c r="B508">
        <v>-42.31</v>
      </c>
    </row>
    <row r="509" spans="1:2" x14ac:dyDescent="0.3">
      <c r="A509">
        <v>18.649999999999999</v>
      </c>
      <c r="B509">
        <v>-41.37</v>
      </c>
    </row>
    <row r="510" spans="1:2" x14ac:dyDescent="0.3">
      <c r="A510">
        <v>18.7</v>
      </c>
      <c r="B510">
        <v>-41.37</v>
      </c>
    </row>
    <row r="511" spans="1:2" x14ac:dyDescent="0.3">
      <c r="A511">
        <v>18.7</v>
      </c>
      <c r="B511">
        <v>-42.18</v>
      </c>
    </row>
    <row r="512" spans="1:2" x14ac:dyDescent="0.3">
      <c r="A512">
        <v>18.75</v>
      </c>
      <c r="B512">
        <v>-42.18</v>
      </c>
    </row>
    <row r="513" spans="1:2" x14ac:dyDescent="0.3">
      <c r="A513">
        <v>18.75</v>
      </c>
      <c r="B513">
        <v>-42.82</v>
      </c>
    </row>
    <row r="514" spans="1:2" x14ac:dyDescent="0.3">
      <c r="A514">
        <v>18.8</v>
      </c>
      <c r="B514">
        <v>-42.82</v>
      </c>
    </row>
    <row r="515" spans="1:2" x14ac:dyDescent="0.3">
      <c r="A515">
        <v>18.8</v>
      </c>
      <c r="B515">
        <v>-41.26</v>
      </c>
    </row>
    <row r="516" spans="1:2" x14ac:dyDescent="0.3">
      <c r="A516">
        <v>18.850000000000001</v>
      </c>
      <c r="B516">
        <v>-41.26</v>
      </c>
    </row>
    <row r="517" spans="1:2" x14ac:dyDescent="0.3">
      <c r="A517">
        <v>18.850000000000001</v>
      </c>
      <c r="B517">
        <v>-41.97</v>
      </c>
    </row>
    <row r="518" spans="1:2" x14ac:dyDescent="0.3">
      <c r="A518">
        <v>18.899999999999999</v>
      </c>
      <c r="B518">
        <v>-41.97</v>
      </c>
    </row>
    <row r="519" spans="1:2" x14ac:dyDescent="0.3">
      <c r="A519">
        <v>18.899999999999999</v>
      </c>
      <c r="B519">
        <v>-41.52</v>
      </c>
    </row>
    <row r="520" spans="1:2" x14ac:dyDescent="0.3">
      <c r="A520">
        <v>18.95</v>
      </c>
      <c r="B520">
        <v>-41.52</v>
      </c>
    </row>
    <row r="521" spans="1:2" x14ac:dyDescent="0.3">
      <c r="A521">
        <v>18.95</v>
      </c>
      <c r="B521">
        <v>-41.13</v>
      </c>
    </row>
    <row r="522" spans="1:2" x14ac:dyDescent="0.3">
      <c r="A522">
        <v>19</v>
      </c>
      <c r="B522">
        <v>-41.13</v>
      </c>
    </row>
    <row r="523" spans="1:2" x14ac:dyDescent="0.3">
      <c r="A523">
        <v>19</v>
      </c>
      <c r="B523">
        <v>-41.05</v>
      </c>
    </row>
    <row r="524" spans="1:2" x14ac:dyDescent="0.3">
      <c r="A524">
        <v>19.05</v>
      </c>
      <c r="B524">
        <v>-41.05</v>
      </c>
    </row>
    <row r="525" spans="1:2" x14ac:dyDescent="0.3">
      <c r="A525">
        <v>19.05</v>
      </c>
      <c r="B525">
        <v>-41.36</v>
      </c>
    </row>
    <row r="526" spans="1:2" x14ac:dyDescent="0.3">
      <c r="A526">
        <v>19.100000000000001</v>
      </c>
      <c r="B526">
        <v>-41.36</v>
      </c>
    </row>
    <row r="527" spans="1:2" x14ac:dyDescent="0.3">
      <c r="A527">
        <v>19.100000000000001</v>
      </c>
      <c r="B527">
        <v>-42.82</v>
      </c>
    </row>
    <row r="528" spans="1:2" x14ac:dyDescent="0.3">
      <c r="A528">
        <v>19.149999999999999</v>
      </c>
      <c r="B528">
        <v>-42.82</v>
      </c>
    </row>
    <row r="529" spans="1:2" x14ac:dyDescent="0.3">
      <c r="A529">
        <v>19.149999999999999</v>
      </c>
      <c r="B529">
        <v>-40.880000000000003</v>
      </c>
    </row>
    <row r="530" spans="1:2" x14ac:dyDescent="0.3">
      <c r="A530">
        <v>19.2</v>
      </c>
      <c r="B530">
        <v>-40.880000000000003</v>
      </c>
    </row>
    <row r="531" spans="1:2" x14ac:dyDescent="0.3">
      <c r="A531">
        <v>19.2</v>
      </c>
      <c r="B531">
        <v>-40.98</v>
      </c>
    </row>
    <row r="532" spans="1:2" x14ac:dyDescent="0.3">
      <c r="A532">
        <v>19.25</v>
      </c>
      <c r="B532">
        <v>-40.98</v>
      </c>
    </row>
    <row r="533" spans="1:2" x14ac:dyDescent="0.3">
      <c r="A533">
        <v>19.25</v>
      </c>
      <c r="B533">
        <v>-42.6</v>
      </c>
    </row>
    <row r="534" spans="1:2" x14ac:dyDescent="0.3">
      <c r="A534">
        <v>19.3</v>
      </c>
      <c r="B534">
        <v>-42.6</v>
      </c>
    </row>
    <row r="535" spans="1:2" x14ac:dyDescent="0.3">
      <c r="A535">
        <v>19.3</v>
      </c>
      <c r="B535">
        <v>-41.77</v>
      </c>
    </row>
    <row r="536" spans="1:2" x14ac:dyDescent="0.3">
      <c r="A536">
        <v>19.350000000000001</v>
      </c>
      <c r="B536">
        <v>-41.77</v>
      </c>
    </row>
    <row r="537" spans="1:2" x14ac:dyDescent="0.3">
      <c r="A537">
        <v>19.350000000000001</v>
      </c>
      <c r="B537">
        <v>-42.57</v>
      </c>
    </row>
    <row r="538" spans="1:2" x14ac:dyDescent="0.3">
      <c r="A538">
        <v>19.399999999999999</v>
      </c>
      <c r="B538">
        <v>-42.57</v>
      </c>
    </row>
    <row r="539" spans="1:2" x14ac:dyDescent="0.3">
      <c r="A539">
        <v>19.399999999999999</v>
      </c>
      <c r="B539">
        <v>-42.18</v>
      </c>
    </row>
    <row r="540" spans="1:2" x14ac:dyDescent="0.3">
      <c r="A540">
        <v>19.45</v>
      </c>
      <c r="B540">
        <v>-42.18</v>
      </c>
    </row>
    <row r="541" spans="1:2" x14ac:dyDescent="0.3">
      <c r="A541">
        <v>19.45</v>
      </c>
      <c r="B541">
        <v>-42.22</v>
      </c>
    </row>
    <row r="542" spans="1:2" x14ac:dyDescent="0.3">
      <c r="A542">
        <v>19.5</v>
      </c>
      <c r="B542">
        <v>-42.22</v>
      </c>
    </row>
    <row r="543" spans="1:2" x14ac:dyDescent="0.3">
      <c r="A543">
        <v>19.5</v>
      </c>
      <c r="B543">
        <v>-41.73</v>
      </c>
    </row>
    <row r="544" spans="1:2" x14ac:dyDescent="0.3">
      <c r="A544">
        <v>19.55</v>
      </c>
      <c r="B544">
        <v>-41.73</v>
      </c>
    </row>
    <row r="545" spans="1:2" x14ac:dyDescent="0.3">
      <c r="A545">
        <v>19.55</v>
      </c>
      <c r="B545">
        <v>-42.29</v>
      </c>
    </row>
    <row r="546" spans="1:2" x14ac:dyDescent="0.3">
      <c r="A546">
        <v>19.600000000000001</v>
      </c>
      <c r="B546">
        <v>-42.29</v>
      </c>
    </row>
    <row r="547" spans="1:2" x14ac:dyDescent="0.3">
      <c r="A547">
        <v>19.600000000000001</v>
      </c>
      <c r="B547">
        <v>-42.01</v>
      </c>
    </row>
    <row r="548" spans="1:2" x14ac:dyDescent="0.3">
      <c r="A548">
        <v>19.649999999999999</v>
      </c>
      <c r="B548">
        <v>-42.01</v>
      </c>
    </row>
    <row r="549" spans="1:2" x14ac:dyDescent="0.3">
      <c r="A549">
        <v>19.649999999999999</v>
      </c>
      <c r="B549">
        <v>-42.9</v>
      </c>
    </row>
    <row r="550" spans="1:2" x14ac:dyDescent="0.3">
      <c r="A550">
        <v>19.7</v>
      </c>
      <c r="B550">
        <v>-42.9</v>
      </c>
    </row>
    <row r="551" spans="1:2" x14ac:dyDescent="0.3">
      <c r="A551">
        <v>19.7</v>
      </c>
      <c r="B551">
        <v>-43.2</v>
      </c>
    </row>
    <row r="552" spans="1:2" x14ac:dyDescent="0.3">
      <c r="A552">
        <v>19.75</v>
      </c>
      <c r="B552">
        <v>-43.2</v>
      </c>
    </row>
    <row r="553" spans="1:2" x14ac:dyDescent="0.3">
      <c r="A553">
        <v>19.75</v>
      </c>
      <c r="B553">
        <v>-43.34</v>
      </c>
    </row>
    <row r="554" spans="1:2" x14ac:dyDescent="0.3">
      <c r="A554">
        <v>19.8</v>
      </c>
      <c r="B554">
        <v>-43.34</v>
      </c>
    </row>
    <row r="555" spans="1:2" x14ac:dyDescent="0.3">
      <c r="A555">
        <v>19.8</v>
      </c>
      <c r="B555">
        <v>-42.38</v>
      </c>
    </row>
    <row r="556" spans="1:2" x14ac:dyDescent="0.3">
      <c r="A556">
        <v>19.850000000000001</v>
      </c>
      <c r="B556">
        <v>-42.38</v>
      </c>
    </row>
    <row r="557" spans="1:2" x14ac:dyDescent="0.3">
      <c r="A557">
        <v>19.850000000000001</v>
      </c>
      <c r="B557">
        <v>-42.76</v>
      </c>
    </row>
    <row r="558" spans="1:2" x14ac:dyDescent="0.3">
      <c r="A558">
        <v>19.899999999999999</v>
      </c>
      <c r="B558">
        <v>-42.76</v>
      </c>
    </row>
    <row r="559" spans="1:2" x14ac:dyDescent="0.3">
      <c r="A559">
        <v>19.899999999999999</v>
      </c>
      <c r="B559">
        <v>-43.87</v>
      </c>
    </row>
    <row r="560" spans="1:2" x14ac:dyDescent="0.3">
      <c r="A560">
        <v>19.95</v>
      </c>
      <c r="B560">
        <v>-43.87</v>
      </c>
    </row>
    <row r="561" spans="1:2" x14ac:dyDescent="0.3">
      <c r="A561">
        <v>19.95</v>
      </c>
      <c r="B561">
        <v>-42.03</v>
      </c>
    </row>
    <row r="562" spans="1:2" x14ac:dyDescent="0.3">
      <c r="A562">
        <v>20</v>
      </c>
      <c r="B562">
        <v>-42.03</v>
      </c>
    </row>
    <row r="563" spans="1:2" x14ac:dyDescent="0.3">
      <c r="A563">
        <v>20</v>
      </c>
      <c r="B563">
        <v>-41.01</v>
      </c>
    </row>
    <row r="564" spans="1:2" x14ac:dyDescent="0.3">
      <c r="A564">
        <v>20.05</v>
      </c>
      <c r="B564">
        <v>-41.01</v>
      </c>
    </row>
    <row r="565" spans="1:2" x14ac:dyDescent="0.3">
      <c r="A565">
        <v>20.05</v>
      </c>
      <c r="B565">
        <v>-41.79</v>
      </c>
    </row>
    <row r="566" spans="1:2" x14ac:dyDescent="0.3">
      <c r="A566">
        <v>20.100000000000001</v>
      </c>
      <c r="B566">
        <v>-41.79</v>
      </c>
    </row>
    <row r="567" spans="1:2" x14ac:dyDescent="0.3">
      <c r="A567">
        <v>20.100000000000001</v>
      </c>
      <c r="B567">
        <v>-42.28</v>
      </c>
    </row>
    <row r="568" spans="1:2" x14ac:dyDescent="0.3">
      <c r="A568">
        <v>20.149999999999999</v>
      </c>
      <c r="B568">
        <v>-42.28</v>
      </c>
    </row>
    <row r="569" spans="1:2" x14ac:dyDescent="0.3">
      <c r="A569">
        <v>20.149999999999999</v>
      </c>
      <c r="B569">
        <v>-42.11</v>
      </c>
    </row>
    <row r="570" spans="1:2" x14ac:dyDescent="0.3">
      <c r="A570">
        <v>20.2</v>
      </c>
      <c r="B570">
        <v>-42.11</v>
      </c>
    </row>
    <row r="571" spans="1:2" x14ac:dyDescent="0.3">
      <c r="A571">
        <v>20.2</v>
      </c>
      <c r="B571">
        <v>-42.7</v>
      </c>
    </row>
    <row r="572" spans="1:2" x14ac:dyDescent="0.3">
      <c r="A572">
        <v>20.25</v>
      </c>
      <c r="B572">
        <v>-42.7</v>
      </c>
    </row>
    <row r="573" spans="1:2" x14ac:dyDescent="0.3">
      <c r="A573">
        <v>20.25</v>
      </c>
      <c r="B573">
        <v>-42.49</v>
      </c>
    </row>
    <row r="574" spans="1:2" x14ac:dyDescent="0.3">
      <c r="A574">
        <v>20.3</v>
      </c>
      <c r="B574">
        <v>-42.49</v>
      </c>
    </row>
    <row r="575" spans="1:2" x14ac:dyDescent="0.3">
      <c r="A575">
        <v>20.3</v>
      </c>
      <c r="B575">
        <v>-42.75</v>
      </c>
    </row>
    <row r="576" spans="1:2" x14ac:dyDescent="0.3">
      <c r="A576">
        <v>20.350000000000001</v>
      </c>
      <c r="B576">
        <v>-42.75</v>
      </c>
    </row>
    <row r="577" spans="1:2" x14ac:dyDescent="0.3">
      <c r="A577">
        <v>20.350000000000001</v>
      </c>
      <c r="B577">
        <v>-44.28</v>
      </c>
    </row>
    <row r="578" spans="1:2" x14ac:dyDescent="0.3">
      <c r="A578">
        <v>20.399999999999999</v>
      </c>
      <c r="B578">
        <v>-44.28</v>
      </c>
    </row>
    <row r="579" spans="1:2" x14ac:dyDescent="0.3">
      <c r="A579">
        <v>20.399999999999999</v>
      </c>
      <c r="B579">
        <v>-42.61</v>
      </c>
    </row>
    <row r="580" spans="1:2" x14ac:dyDescent="0.3">
      <c r="A580">
        <v>20.45</v>
      </c>
      <c r="B580">
        <v>-42.61</v>
      </c>
    </row>
    <row r="581" spans="1:2" x14ac:dyDescent="0.3">
      <c r="A581">
        <v>20.45</v>
      </c>
      <c r="B581">
        <v>-43.15</v>
      </c>
    </row>
    <row r="582" spans="1:2" x14ac:dyDescent="0.3">
      <c r="A582">
        <v>20.5</v>
      </c>
      <c r="B582">
        <v>-43.15</v>
      </c>
    </row>
    <row r="583" spans="1:2" x14ac:dyDescent="0.3">
      <c r="A583">
        <v>20.5</v>
      </c>
      <c r="B583">
        <v>-42.06</v>
      </c>
    </row>
    <row r="584" spans="1:2" x14ac:dyDescent="0.3">
      <c r="A584">
        <v>20.55</v>
      </c>
      <c r="B584">
        <v>-42.06</v>
      </c>
    </row>
    <row r="585" spans="1:2" x14ac:dyDescent="0.3">
      <c r="A585">
        <v>20.55</v>
      </c>
      <c r="B585">
        <v>-42.96</v>
      </c>
    </row>
    <row r="586" spans="1:2" x14ac:dyDescent="0.3">
      <c r="A586">
        <v>20.6</v>
      </c>
      <c r="B586">
        <v>-42.96</v>
      </c>
    </row>
    <row r="587" spans="1:2" x14ac:dyDescent="0.3">
      <c r="A587">
        <v>20.6</v>
      </c>
      <c r="B587">
        <v>-43.29</v>
      </c>
    </row>
    <row r="588" spans="1:2" x14ac:dyDescent="0.3">
      <c r="A588">
        <v>20.65</v>
      </c>
      <c r="B588">
        <v>-43.29</v>
      </c>
    </row>
    <row r="589" spans="1:2" x14ac:dyDescent="0.3">
      <c r="A589">
        <v>20.65</v>
      </c>
      <c r="B589">
        <v>-42.14</v>
      </c>
    </row>
    <row r="590" spans="1:2" x14ac:dyDescent="0.3">
      <c r="A590">
        <v>20.7</v>
      </c>
      <c r="B590">
        <v>-42.14</v>
      </c>
    </row>
    <row r="591" spans="1:2" x14ac:dyDescent="0.3">
      <c r="A591">
        <v>20.7</v>
      </c>
      <c r="B591">
        <v>-42.41</v>
      </c>
    </row>
    <row r="592" spans="1:2" x14ac:dyDescent="0.3">
      <c r="A592">
        <v>20.75</v>
      </c>
      <c r="B592">
        <v>-42.41</v>
      </c>
    </row>
    <row r="593" spans="1:2" x14ac:dyDescent="0.3">
      <c r="A593">
        <v>20.75</v>
      </c>
      <c r="B593">
        <v>-42.77</v>
      </c>
    </row>
    <row r="594" spans="1:2" x14ac:dyDescent="0.3">
      <c r="A594">
        <v>20.8</v>
      </c>
      <c r="B594">
        <v>-42.77</v>
      </c>
    </row>
    <row r="595" spans="1:2" x14ac:dyDescent="0.3">
      <c r="A595">
        <v>20.8</v>
      </c>
      <c r="B595">
        <v>-42.07</v>
      </c>
    </row>
    <row r="596" spans="1:2" x14ac:dyDescent="0.3">
      <c r="A596">
        <v>20.85</v>
      </c>
      <c r="B596">
        <v>-42.07</v>
      </c>
    </row>
    <row r="597" spans="1:2" x14ac:dyDescent="0.3">
      <c r="A597">
        <v>20.85</v>
      </c>
      <c r="B597">
        <v>-43.05</v>
      </c>
    </row>
    <row r="598" spans="1:2" x14ac:dyDescent="0.3">
      <c r="A598">
        <v>20.9</v>
      </c>
      <c r="B598">
        <v>-43.05</v>
      </c>
    </row>
    <row r="599" spans="1:2" x14ac:dyDescent="0.3">
      <c r="A599">
        <v>20.9</v>
      </c>
      <c r="B599">
        <v>-42.14</v>
      </c>
    </row>
    <row r="600" spans="1:2" x14ac:dyDescent="0.3">
      <c r="A600">
        <v>20.95</v>
      </c>
      <c r="B600">
        <v>-42.14</v>
      </c>
    </row>
    <row r="601" spans="1:2" x14ac:dyDescent="0.3">
      <c r="A601">
        <v>20.95</v>
      </c>
      <c r="B601">
        <v>-41.71</v>
      </c>
    </row>
    <row r="602" spans="1:2" x14ac:dyDescent="0.3">
      <c r="A602">
        <v>21</v>
      </c>
      <c r="B602">
        <v>-41.71</v>
      </c>
    </row>
    <row r="603" spans="1:2" x14ac:dyDescent="0.3">
      <c r="A603">
        <v>21</v>
      </c>
      <c r="B603">
        <v>-42.65</v>
      </c>
    </row>
    <row r="604" spans="1:2" x14ac:dyDescent="0.3">
      <c r="A604">
        <v>21.05</v>
      </c>
      <c r="B604">
        <v>-42.65</v>
      </c>
    </row>
    <row r="605" spans="1:2" x14ac:dyDescent="0.3">
      <c r="A605">
        <v>21.05</v>
      </c>
      <c r="B605">
        <v>-42.95</v>
      </c>
    </row>
    <row r="606" spans="1:2" x14ac:dyDescent="0.3">
      <c r="A606">
        <v>21.1</v>
      </c>
      <c r="B606">
        <v>-42.95</v>
      </c>
    </row>
    <row r="607" spans="1:2" x14ac:dyDescent="0.3">
      <c r="A607">
        <v>21.1</v>
      </c>
      <c r="B607">
        <v>-43.75</v>
      </c>
    </row>
    <row r="608" spans="1:2" x14ac:dyDescent="0.3">
      <c r="A608">
        <v>21.15</v>
      </c>
      <c r="B608">
        <v>-43.75</v>
      </c>
    </row>
    <row r="609" spans="1:2" x14ac:dyDescent="0.3">
      <c r="A609">
        <v>21.15</v>
      </c>
      <c r="B609">
        <v>-42.91</v>
      </c>
    </row>
    <row r="610" spans="1:2" x14ac:dyDescent="0.3">
      <c r="A610">
        <v>21.2</v>
      </c>
      <c r="B610">
        <v>-42.91</v>
      </c>
    </row>
    <row r="611" spans="1:2" x14ac:dyDescent="0.3">
      <c r="A611">
        <v>21.2</v>
      </c>
      <c r="B611">
        <v>-43.28</v>
      </c>
    </row>
    <row r="612" spans="1:2" x14ac:dyDescent="0.3">
      <c r="A612">
        <v>21.25</v>
      </c>
      <c r="B612">
        <v>-43.28</v>
      </c>
    </row>
    <row r="613" spans="1:2" x14ac:dyDescent="0.3">
      <c r="A613">
        <v>21.25</v>
      </c>
      <c r="B613">
        <v>-42.36</v>
      </c>
    </row>
    <row r="614" spans="1:2" x14ac:dyDescent="0.3">
      <c r="A614">
        <v>21.3</v>
      </c>
      <c r="B614">
        <v>-42.36</v>
      </c>
    </row>
    <row r="615" spans="1:2" x14ac:dyDescent="0.3">
      <c r="A615">
        <v>21.3</v>
      </c>
      <c r="B615">
        <v>-41.85</v>
      </c>
    </row>
    <row r="616" spans="1:2" x14ac:dyDescent="0.3">
      <c r="A616">
        <v>21.35</v>
      </c>
      <c r="B616">
        <v>-41.85</v>
      </c>
    </row>
    <row r="617" spans="1:2" x14ac:dyDescent="0.3">
      <c r="A617">
        <v>21.35</v>
      </c>
      <c r="B617">
        <v>-42.83</v>
      </c>
    </row>
    <row r="618" spans="1:2" x14ac:dyDescent="0.3">
      <c r="A618">
        <v>21.4</v>
      </c>
      <c r="B618">
        <v>-42.83</v>
      </c>
    </row>
    <row r="619" spans="1:2" x14ac:dyDescent="0.3">
      <c r="A619">
        <v>21.4</v>
      </c>
      <c r="B619">
        <v>-41.87</v>
      </c>
    </row>
    <row r="620" spans="1:2" x14ac:dyDescent="0.3">
      <c r="A620">
        <v>21.45</v>
      </c>
      <c r="B620">
        <v>-41.87</v>
      </c>
    </row>
    <row r="621" spans="1:2" x14ac:dyDescent="0.3">
      <c r="A621">
        <v>21.45</v>
      </c>
      <c r="B621">
        <v>-42.03</v>
      </c>
    </row>
    <row r="622" spans="1:2" x14ac:dyDescent="0.3">
      <c r="A622">
        <v>21.5</v>
      </c>
      <c r="B622">
        <v>-42.03</v>
      </c>
    </row>
    <row r="623" spans="1:2" x14ac:dyDescent="0.3">
      <c r="A623">
        <v>21.5</v>
      </c>
      <c r="B623">
        <v>-41.59</v>
      </c>
    </row>
    <row r="624" spans="1:2" x14ac:dyDescent="0.3">
      <c r="A624">
        <v>21.55</v>
      </c>
      <c r="B624">
        <v>-41.59</v>
      </c>
    </row>
    <row r="625" spans="1:2" x14ac:dyDescent="0.3">
      <c r="A625">
        <v>21.55</v>
      </c>
      <c r="B625">
        <v>-41.56</v>
      </c>
    </row>
    <row r="626" spans="1:2" x14ac:dyDescent="0.3">
      <c r="A626">
        <v>21.6</v>
      </c>
      <c r="B626">
        <v>-41.56</v>
      </c>
    </row>
    <row r="627" spans="1:2" x14ac:dyDescent="0.3">
      <c r="A627">
        <v>21.6</v>
      </c>
      <c r="B627">
        <v>-42.14</v>
      </c>
    </row>
    <row r="628" spans="1:2" x14ac:dyDescent="0.3">
      <c r="A628">
        <v>21.65</v>
      </c>
      <c r="B628">
        <v>-42.14</v>
      </c>
    </row>
    <row r="629" spans="1:2" x14ac:dyDescent="0.3">
      <c r="A629">
        <v>21.65</v>
      </c>
      <c r="B629">
        <v>-42.34</v>
      </c>
    </row>
    <row r="630" spans="1:2" x14ac:dyDescent="0.3">
      <c r="A630">
        <v>21.7</v>
      </c>
      <c r="B630">
        <v>-42.34</v>
      </c>
    </row>
    <row r="631" spans="1:2" x14ac:dyDescent="0.3">
      <c r="A631">
        <v>21.7</v>
      </c>
      <c r="B631">
        <v>-42.9</v>
      </c>
    </row>
    <row r="632" spans="1:2" x14ac:dyDescent="0.3">
      <c r="A632">
        <v>21.75</v>
      </c>
      <c r="B632">
        <v>-42.9</v>
      </c>
    </row>
    <row r="633" spans="1:2" x14ac:dyDescent="0.3">
      <c r="A633">
        <v>21.75</v>
      </c>
      <c r="B633">
        <v>-42.4</v>
      </c>
    </row>
    <row r="634" spans="1:2" x14ac:dyDescent="0.3">
      <c r="A634">
        <v>21.8</v>
      </c>
      <c r="B634">
        <v>-42.4</v>
      </c>
    </row>
    <row r="635" spans="1:2" x14ac:dyDescent="0.3">
      <c r="A635">
        <v>21.8</v>
      </c>
      <c r="B635">
        <v>-42.31</v>
      </c>
    </row>
    <row r="636" spans="1:2" x14ac:dyDescent="0.3">
      <c r="A636">
        <v>21.85</v>
      </c>
      <c r="B636">
        <v>-42.31</v>
      </c>
    </row>
    <row r="637" spans="1:2" x14ac:dyDescent="0.3">
      <c r="A637">
        <v>21.85</v>
      </c>
      <c r="B637">
        <v>-43.01</v>
      </c>
    </row>
    <row r="638" spans="1:2" x14ac:dyDescent="0.3">
      <c r="A638">
        <v>21.9</v>
      </c>
      <c r="B638">
        <v>-43.01</v>
      </c>
    </row>
    <row r="639" spans="1:2" x14ac:dyDescent="0.3">
      <c r="A639">
        <v>21.9</v>
      </c>
      <c r="B639">
        <v>-42.24</v>
      </c>
    </row>
    <row r="640" spans="1:2" x14ac:dyDescent="0.3">
      <c r="A640">
        <v>21.95</v>
      </c>
      <c r="B640">
        <v>-42.24</v>
      </c>
    </row>
    <row r="641" spans="1:2" x14ac:dyDescent="0.3">
      <c r="A641">
        <v>21.95</v>
      </c>
      <c r="B641">
        <v>-42.38</v>
      </c>
    </row>
    <row r="642" spans="1:2" x14ac:dyDescent="0.3">
      <c r="A642">
        <v>22</v>
      </c>
      <c r="B642">
        <v>-42.38</v>
      </c>
    </row>
    <row r="643" spans="1:2" x14ac:dyDescent="0.3">
      <c r="A643">
        <v>22</v>
      </c>
      <c r="B643">
        <v>-43.48</v>
      </c>
    </row>
    <row r="644" spans="1:2" x14ac:dyDescent="0.3">
      <c r="A644">
        <v>22.05</v>
      </c>
      <c r="B644">
        <v>-43.48</v>
      </c>
    </row>
    <row r="645" spans="1:2" x14ac:dyDescent="0.3">
      <c r="A645">
        <v>22.05</v>
      </c>
      <c r="B645">
        <v>-41.22</v>
      </c>
    </row>
    <row r="646" spans="1:2" x14ac:dyDescent="0.3">
      <c r="A646">
        <v>22.1</v>
      </c>
      <c r="B646">
        <v>-41.22</v>
      </c>
    </row>
    <row r="647" spans="1:2" x14ac:dyDescent="0.3">
      <c r="A647">
        <v>22.1</v>
      </c>
      <c r="B647">
        <v>-41.2</v>
      </c>
    </row>
    <row r="648" spans="1:2" x14ac:dyDescent="0.3">
      <c r="A648">
        <v>22.15</v>
      </c>
      <c r="B648">
        <v>-41.2</v>
      </c>
    </row>
    <row r="649" spans="1:2" x14ac:dyDescent="0.3">
      <c r="A649">
        <v>22.15</v>
      </c>
      <c r="B649">
        <v>-42.49</v>
      </c>
    </row>
    <row r="650" spans="1:2" x14ac:dyDescent="0.3">
      <c r="A650">
        <v>22.2</v>
      </c>
      <c r="B650">
        <v>-42.49</v>
      </c>
    </row>
    <row r="651" spans="1:2" x14ac:dyDescent="0.3">
      <c r="A651">
        <v>22.2</v>
      </c>
      <c r="B651">
        <v>-41.87</v>
      </c>
    </row>
    <row r="652" spans="1:2" x14ac:dyDescent="0.3">
      <c r="A652">
        <v>22.25</v>
      </c>
      <c r="B652">
        <v>-41.87</v>
      </c>
    </row>
    <row r="653" spans="1:2" x14ac:dyDescent="0.3">
      <c r="A653">
        <v>22.25</v>
      </c>
      <c r="B653">
        <v>-41.18</v>
      </c>
    </row>
    <row r="654" spans="1:2" x14ac:dyDescent="0.3">
      <c r="A654">
        <v>22.3</v>
      </c>
      <c r="B654">
        <v>-41.18</v>
      </c>
    </row>
    <row r="655" spans="1:2" x14ac:dyDescent="0.3">
      <c r="A655">
        <v>22.3</v>
      </c>
      <c r="B655">
        <v>-42.27</v>
      </c>
    </row>
    <row r="656" spans="1:2" x14ac:dyDescent="0.3">
      <c r="A656">
        <v>22.35</v>
      </c>
      <c r="B656">
        <v>-42.27</v>
      </c>
    </row>
    <row r="657" spans="1:2" x14ac:dyDescent="0.3">
      <c r="A657">
        <v>22.35</v>
      </c>
      <c r="B657">
        <v>-42.11</v>
      </c>
    </row>
    <row r="658" spans="1:2" x14ac:dyDescent="0.3">
      <c r="A658">
        <v>22.4</v>
      </c>
      <c r="B658">
        <v>-42.11</v>
      </c>
    </row>
    <row r="659" spans="1:2" x14ac:dyDescent="0.3">
      <c r="A659">
        <v>22.4</v>
      </c>
      <c r="B659">
        <v>-42.76</v>
      </c>
    </row>
    <row r="660" spans="1:2" x14ac:dyDescent="0.3">
      <c r="A660">
        <v>22.45</v>
      </c>
      <c r="B660">
        <v>-42.76</v>
      </c>
    </row>
    <row r="661" spans="1:2" x14ac:dyDescent="0.3">
      <c r="A661">
        <v>22.45</v>
      </c>
      <c r="B661">
        <v>-42.47</v>
      </c>
    </row>
    <row r="662" spans="1:2" x14ac:dyDescent="0.3">
      <c r="A662">
        <v>22.5</v>
      </c>
      <c r="B662">
        <v>-42.47</v>
      </c>
    </row>
    <row r="663" spans="1:2" x14ac:dyDescent="0.3">
      <c r="A663">
        <v>22.5</v>
      </c>
      <c r="B663">
        <v>-41.76</v>
      </c>
    </row>
    <row r="664" spans="1:2" x14ac:dyDescent="0.3">
      <c r="A664">
        <v>22.55</v>
      </c>
      <c r="B664">
        <v>-41.76</v>
      </c>
    </row>
    <row r="665" spans="1:2" x14ac:dyDescent="0.3">
      <c r="A665">
        <v>22.55</v>
      </c>
      <c r="B665">
        <v>-41.07</v>
      </c>
    </row>
    <row r="666" spans="1:2" x14ac:dyDescent="0.3">
      <c r="A666">
        <v>22.6</v>
      </c>
      <c r="B666">
        <v>-41.07</v>
      </c>
    </row>
    <row r="667" spans="1:2" x14ac:dyDescent="0.3">
      <c r="A667">
        <v>22.6</v>
      </c>
      <c r="B667">
        <v>-39.76</v>
      </c>
    </row>
    <row r="668" spans="1:2" x14ac:dyDescent="0.3">
      <c r="A668">
        <v>22.65</v>
      </c>
      <c r="B668">
        <v>-39.76</v>
      </c>
    </row>
    <row r="669" spans="1:2" x14ac:dyDescent="0.3">
      <c r="A669">
        <v>22.65</v>
      </c>
      <c r="B669">
        <v>-41.92</v>
      </c>
    </row>
    <row r="670" spans="1:2" x14ac:dyDescent="0.3">
      <c r="A670">
        <v>22.7</v>
      </c>
      <c r="B670">
        <v>-41.92</v>
      </c>
    </row>
    <row r="671" spans="1:2" x14ac:dyDescent="0.3">
      <c r="A671">
        <v>22.7</v>
      </c>
      <c r="B671">
        <v>-43.46</v>
      </c>
    </row>
    <row r="672" spans="1:2" x14ac:dyDescent="0.3">
      <c r="A672">
        <v>22.75</v>
      </c>
      <c r="B672">
        <v>-43.46</v>
      </c>
    </row>
    <row r="673" spans="1:2" x14ac:dyDescent="0.3">
      <c r="A673">
        <v>22.75</v>
      </c>
      <c r="B673">
        <v>-42</v>
      </c>
    </row>
    <row r="674" spans="1:2" x14ac:dyDescent="0.3">
      <c r="A674">
        <v>22.8</v>
      </c>
      <c r="B674">
        <v>-42</v>
      </c>
    </row>
    <row r="675" spans="1:2" x14ac:dyDescent="0.3">
      <c r="A675">
        <v>22.8</v>
      </c>
      <c r="B675">
        <v>-43.68</v>
      </c>
    </row>
    <row r="676" spans="1:2" x14ac:dyDescent="0.3">
      <c r="A676">
        <v>22.85</v>
      </c>
      <c r="B676">
        <v>-43.68</v>
      </c>
    </row>
    <row r="677" spans="1:2" x14ac:dyDescent="0.3">
      <c r="A677">
        <v>22.85</v>
      </c>
      <c r="B677">
        <v>-43.61</v>
      </c>
    </row>
    <row r="678" spans="1:2" x14ac:dyDescent="0.3">
      <c r="A678">
        <v>22.9</v>
      </c>
      <c r="B678">
        <v>-43.61</v>
      </c>
    </row>
    <row r="679" spans="1:2" x14ac:dyDescent="0.3">
      <c r="A679">
        <v>22.9</v>
      </c>
      <c r="B679">
        <v>-43.77</v>
      </c>
    </row>
    <row r="680" spans="1:2" x14ac:dyDescent="0.3">
      <c r="A680">
        <v>22.95</v>
      </c>
      <c r="B680">
        <v>-43.77</v>
      </c>
    </row>
    <row r="681" spans="1:2" x14ac:dyDescent="0.3">
      <c r="A681">
        <v>22.95</v>
      </c>
      <c r="B681">
        <v>-43.67</v>
      </c>
    </row>
    <row r="682" spans="1:2" x14ac:dyDescent="0.3">
      <c r="A682">
        <v>23</v>
      </c>
      <c r="B682">
        <v>-43.67</v>
      </c>
    </row>
    <row r="683" spans="1:2" x14ac:dyDescent="0.3">
      <c r="A683">
        <v>23</v>
      </c>
      <c r="B683">
        <v>-44.07</v>
      </c>
    </row>
    <row r="684" spans="1:2" x14ac:dyDescent="0.3">
      <c r="A684">
        <v>23.05</v>
      </c>
      <c r="B684">
        <v>-44.07</v>
      </c>
    </row>
    <row r="685" spans="1:2" x14ac:dyDescent="0.3">
      <c r="A685">
        <v>23.05</v>
      </c>
      <c r="B685">
        <v>-43.12</v>
      </c>
    </row>
    <row r="686" spans="1:2" x14ac:dyDescent="0.3">
      <c r="A686">
        <v>23.1</v>
      </c>
      <c r="B686">
        <v>-43.12</v>
      </c>
    </row>
    <row r="687" spans="1:2" x14ac:dyDescent="0.3">
      <c r="A687">
        <v>23.1</v>
      </c>
      <c r="B687">
        <v>-43.72</v>
      </c>
    </row>
    <row r="688" spans="1:2" x14ac:dyDescent="0.3">
      <c r="A688">
        <v>23.15</v>
      </c>
      <c r="B688">
        <v>-43.72</v>
      </c>
    </row>
    <row r="689" spans="1:2" x14ac:dyDescent="0.3">
      <c r="A689">
        <v>23.15</v>
      </c>
      <c r="B689">
        <v>-44.19</v>
      </c>
    </row>
    <row r="690" spans="1:2" x14ac:dyDescent="0.3">
      <c r="A690">
        <v>23.2</v>
      </c>
      <c r="B690">
        <v>-44.19</v>
      </c>
    </row>
    <row r="691" spans="1:2" x14ac:dyDescent="0.3">
      <c r="A691">
        <v>23.2</v>
      </c>
      <c r="B691">
        <v>-43.53</v>
      </c>
    </row>
    <row r="692" spans="1:2" x14ac:dyDescent="0.3">
      <c r="A692">
        <v>23.25</v>
      </c>
      <c r="B692">
        <v>-43.53</v>
      </c>
    </row>
    <row r="693" spans="1:2" x14ac:dyDescent="0.3">
      <c r="A693">
        <v>23.25</v>
      </c>
      <c r="B693">
        <v>-43.57</v>
      </c>
    </row>
    <row r="694" spans="1:2" x14ac:dyDescent="0.3">
      <c r="A694">
        <v>23.3</v>
      </c>
      <c r="B694">
        <v>-43.57</v>
      </c>
    </row>
    <row r="695" spans="1:2" x14ac:dyDescent="0.3">
      <c r="A695">
        <v>23.3</v>
      </c>
      <c r="B695">
        <v>-42.65</v>
      </c>
    </row>
    <row r="696" spans="1:2" x14ac:dyDescent="0.3">
      <c r="A696">
        <v>23.35</v>
      </c>
      <c r="B696">
        <v>-42.65</v>
      </c>
    </row>
    <row r="697" spans="1:2" x14ac:dyDescent="0.3">
      <c r="A697">
        <v>23.35</v>
      </c>
      <c r="B697">
        <v>-43.14</v>
      </c>
    </row>
    <row r="698" spans="1:2" x14ac:dyDescent="0.3">
      <c r="A698">
        <v>23.4</v>
      </c>
      <c r="B698">
        <v>-43.14</v>
      </c>
    </row>
    <row r="699" spans="1:2" x14ac:dyDescent="0.3">
      <c r="A699">
        <v>23.4</v>
      </c>
      <c r="B699">
        <v>-43.74</v>
      </c>
    </row>
    <row r="700" spans="1:2" x14ac:dyDescent="0.3">
      <c r="A700">
        <v>23.45</v>
      </c>
      <c r="B700">
        <v>-43.74</v>
      </c>
    </row>
    <row r="701" spans="1:2" x14ac:dyDescent="0.3">
      <c r="A701">
        <v>23.45</v>
      </c>
      <c r="B701">
        <v>-43.55</v>
      </c>
    </row>
    <row r="702" spans="1:2" x14ac:dyDescent="0.3">
      <c r="A702">
        <v>23.5</v>
      </c>
      <c r="B702">
        <v>-43.55</v>
      </c>
    </row>
    <row r="703" spans="1:2" x14ac:dyDescent="0.3">
      <c r="A703">
        <v>23.5</v>
      </c>
      <c r="B703">
        <v>-43.82</v>
      </c>
    </row>
    <row r="704" spans="1:2" x14ac:dyDescent="0.3">
      <c r="A704">
        <v>23.55</v>
      </c>
      <c r="B704">
        <v>-43.82</v>
      </c>
    </row>
    <row r="705" spans="1:2" x14ac:dyDescent="0.3">
      <c r="A705">
        <v>23.55</v>
      </c>
      <c r="B705">
        <v>-44.32</v>
      </c>
    </row>
    <row r="706" spans="1:2" x14ac:dyDescent="0.3">
      <c r="A706">
        <v>23.6</v>
      </c>
      <c r="B706">
        <v>-44.32</v>
      </c>
    </row>
    <row r="707" spans="1:2" x14ac:dyDescent="0.3">
      <c r="A707">
        <v>23.6</v>
      </c>
      <c r="B707">
        <v>-43.8</v>
      </c>
    </row>
    <row r="708" spans="1:2" x14ac:dyDescent="0.3">
      <c r="A708">
        <v>23.65</v>
      </c>
      <c r="B708">
        <v>-43.8</v>
      </c>
    </row>
    <row r="709" spans="1:2" x14ac:dyDescent="0.3">
      <c r="A709">
        <v>23.65</v>
      </c>
      <c r="B709">
        <v>-42.62</v>
      </c>
    </row>
    <row r="710" spans="1:2" x14ac:dyDescent="0.3">
      <c r="A710">
        <v>23.7</v>
      </c>
      <c r="B710">
        <v>-42.62</v>
      </c>
    </row>
    <row r="711" spans="1:2" x14ac:dyDescent="0.3">
      <c r="A711">
        <v>23.7</v>
      </c>
      <c r="B711">
        <v>-43.54</v>
      </c>
    </row>
    <row r="712" spans="1:2" x14ac:dyDescent="0.3">
      <c r="A712">
        <v>23.75</v>
      </c>
      <c r="B712">
        <v>-43.54</v>
      </c>
    </row>
    <row r="713" spans="1:2" x14ac:dyDescent="0.3">
      <c r="A713">
        <v>23.75</v>
      </c>
      <c r="B713">
        <v>-43.41</v>
      </c>
    </row>
    <row r="714" spans="1:2" x14ac:dyDescent="0.3">
      <c r="A714">
        <v>23.8</v>
      </c>
      <c r="B714">
        <v>-43.41</v>
      </c>
    </row>
    <row r="715" spans="1:2" x14ac:dyDescent="0.3">
      <c r="A715">
        <v>23.8</v>
      </c>
      <c r="B715">
        <v>-43.5</v>
      </c>
    </row>
    <row r="716" spans="1:2" x14ac:dyDescent="0.3">
      <c r="A716">
        <v>23.85</v>
      </c>
      <c r="B716">
        <v>-43.5</v>
      </c>
    </row>
    <row r="717" spans="1:2" x14ac:dyDescent="0.3">
      <c r="A717">
        <v>23.85</v>
      </c>
      <c r="B717">
        <v>-43.2</v>
      </c>
    </row>
    <row r="718" spans="1:2" x14ac:dyDescent="0.3">
      <c r="A718">
        <v>23.9</v>
      </c>
      <c r="B718">
        <v>-43.2</v>
      </c>
    </row>
    <row r="719" spans="1:2" x14ac:dyDescent="0.3">
      <c r="A719">
        <v>23.9</v>
      </c>
      <c r="B719">
        <v>-42.7</v>
      </c>
    </row>
    <row r="720" spans="1:2" x14ac:dyDescent="0.3">
      <c r="A720">
        <v>23.95</v>
      </c>
      <c r="B720">
        <v>-42.7</v>
      </c>
    </row>
    <row r="721" spans="1:2" x14ac:dyDescent="0.3">
      <c r="A721">
        <v>23.95</v>
      </c>
      <c r="B721">
        <v>-43.6</v>
      </c>
    </row>
    <row r="722" spans="1:2" x14ac:dyDescent="0.3">
      <c r="A722">
        <v>24</v>
      </c>
      <c r="B722">
        <v>-43.6</v>
      </c>
    </row>
    <row r="723" spans="1:2" x14ac:dyDescent="0.3">
      <c r="A723">
        <v>24</v>
      </c>
      <c r="B723">
        <v>-44.23</v>
      </c>
    </row>
    <row r="724" spans="1:2" x14ac:dyDescent="0.3">
      <c r="A724">
        <v>24.05</v>
      </c>
      <c r="B724">
        <v>-44.23</v>
      </c>
    </row>
    <row r="725" spans="1:2" x14ac:dyDescent="0.3">
      <c r="A725">
        <v>24.05</v>
      </c>
      <c r="B725">
        <v>-43.04</v>
      </c>
    </row>
    <row r="726" spans="1:2" x14ac:dyDescent="0.3">
      <c r="A726">
        <v>24.1</v>
      </c>
      <c r="B726">
        <v>-43.04</v>
      </c>
    </row>
    <row r="727" spans="1:2" x14ac:dyDescent="0.3">
      <c r="A727">
        <v>24.1</v>
      </c>
      <c r="B727">
        <v>-43.84</v>
      </c>
    </row>
    <row r="728" spans="1:2" x14ac:dyDescent="0.3">
      <c r="A728">
        <v>24.15</v>
      </c>
      <c r="B728">
        <v>-43.84</v>
      </c>
    </row>
    <row r="729" spans="1:2" x14ac:dyDescent="0.3">
      <c r="A729">
        <v>24.15</v>
      </c>
      <c r="B729">
        <v>-44.06</v>
      </c>
    </row>
    <row r="730" spans="1:2" x14ac:dyDescent="0.3">
      <c r="A730">
        <v>24.2</v>
      </c>
      <c r="B730">
        <v>-44.06</v>
      </c>
    </row>
    <row r="731" spans="1:2" x14ac:dyDescent="0.3">
      <c r="A731">
        <v>24.2</v>
      </c>
      <c r="B731">
        <v>-43.89</v>
      </c>
    </row>
    <row r="732" spans="1:2" x14ac:dyDescent="0.3">
      <c r="A732">
        <v>24.25</v>
      </c>
      <c r="B732">
        <v>-43.89</v>
      </c>
    </row>
    <row r="733" spans="1:2" x14ac:dyDescent="0.3">
      <c r="A733">
        <v>24.25</v>
      </c>
      <c r="B733">
        <v>-44.49</v>
      </c>
    </row>
    <row r="734" spans="1:2" x14ac:dyDescent="0.3">
      <c r="A734">
        <v>24.3</v>
      </c>
      <c r="B734">
        <v>-44.49</v>
      </c>
    </row>
    <row r="735" spans="1:2" x14ac:dyDescent="0.3">
      <c r="A735">
        <v>24.3</v>
      </c>
      <c r="B735">
        <v>-42.67</v>
      </c>
    </row>
    <row r="736" spans="1:2" x14ac:dyDescent="0.3">
      <c r="A736">
        <v>24.35</v>
      </c>
      <c r="B736">
        <v>-42.67</v>
      </c>
    </row>
    <row r="737" spans="1:2" x14ac:dyDescent="0.3">
      <c r="A737">
        <v>24.35</v>
      </c>
      <c r="B737">
        <v>-42.74</v>
      </c>
    </row>
    <row r="738" spans="1:2" x14ac:dyDescent="0.3">
      <c r="A738">
        <v>24.4</v>
      </c>
      <c r="B738">
        <v>-42.74</v>
      </c>
    </row>
    <row r="739" spans="1:2" x14ac:dyDescent="0.3">
      <c r="A739">
        <v>24.4</v>
      </c>
      <c r="B739">
        <v>-43.43</v>
      </c>
    </row>
    <row r="740" spans="1:2" x14ac:dyDescent="0.3">
      <c r="A740">
        <v>24.45</v>
      </c>
      <c r="B740">
        <v>-43.43</v>
      </c>
    </row>
    <row r="741" spans="1:2" x14ac:dyDescent="0.3">
      <c r="A741">
        <v>24.45</v>
      </c>
      <c r="B741">
        <v>-44.21</v>
      </c>
    </row>
    <row r="742" spans="1:2" x14ac:dyDescent="0.3">
      <c r="A742">
        <v>24.5</v>
      </c>
      <c r="B742">
        <v>-44.21</v>
      </c>
    </row>
    <row r="743" spans="1:2" x14ac:dyDescent="0.3">
      <c r="A743">
        <v>24.5</v>
      </c>
      <c r="B743">
        <v>-43.39</v>
      </c>
    </row>
    <row r="744" spans="1:2" x14ac:dyDescent="0.3">
      <c r="A744">
        <v>24.55</v>
      </c>
      <c r="B744">
        <v>-43.39</v>
      </c>
    </row>
    <row r="745" spans="1:2" x14ac:dyDescent="0.3">
      <c r="A745">
        <v>24.55</v>
      </c>
      <c r="B745">
        <v>-42.79</v>
      </c>
    </row>
    <row r="746" spans="1:2" x14ac:dyDescent="0.3">
      <c r="A746">
        <v>24.6</v>
      </c>
      <c r="B746">
        <v>-42.79</v>
      </c>
    </row>
    <row r="747" spans="1:2" x14ac:dyDescent="0.3">
      <c r="A747">
        <v>24.6</v>
      </c>
      <c r="B747">
        <v>-44</v>
      </c>
    </row>
    <row r="748" spans="1:2" x14ac:dyDescent="0.3">
      <c r="A748">
        <v>24.65</v>
      </c>
      <c r="B748">
        <v>-44</v>
      </c>
    </row>
    <row r="749" spans="1:2" x14ac:dyDescent="0.3">
      <c r="A749">
        <v>24.65</v>
      </c>
      <c r="B749">
        <v>-43.45</v>
      </c>
    </row>
    <row r="750" spans="1:2" x14ac:dyDescent="0.3">
      <c r="A750">
        <v>24.7</v>
      </c>
      <c r="B750">
        <v>-43.45</v>
      </c>
    </row>
    <row r="751" spans="1:2" x14ac:dyDescent="0.3">
      <c r="A751">
        <v>24.7</v>
      </c>
      <c r="B751">
        <v>-42.93</v>
      </c>
    </row>
    <row r="752" spans="1:2" x14ac:dyDescent="0.3">
      <c r="A752">
        <v>24.75</v>
      </c>
      <c r="B752">
        <v>-42.93</v>
      </c>
    </row>
    <row r="753" spans="1:2" x14ac:dyDescent="0.3">
      <c r="A753">
        <v>24.75</v>
      </c>
      <c r="B753">
        <v>-44.13</v>
      </c>
    </row>
    <row r="754" spans="1:2" x14ac:dyDescent="0.3">
      <c r="A754">
        <v>24.8</v>
      </c>
      <c r="B754">
        <v>-44.13</v>
      </c>
    </row>
    <row r="755" spans="1:2" x14ac:dyDescent="0.3">
      <c r="A755">
        <v>24.8</v>
      </c>
      <c r="B755">
        <v>-44.86</v>
      </c>
    </row>
    <row r="756" spans="1:2" x14ac:dyDescent="0.3">
      <c r="A756">
        <v>24.85</v>
      </c>
      <c r="B756">
        <v>-44.86</v>
      </c>
    </row>
    <row r="757" spans="1:2" x14ac:dyDescent="0.3">
      <c r="A757">
        <v>24.85</v>
      </c>
      <c r="B757">
        <v>-42.36</v>
      </c>
    </row>
    <row r="758" spans="1:2" x14ac:dyDescent="0.3">
      <c r="A758">
        <v>24.9</v>
      </c>
      <c r="B758">
        <v>-42.36</v>
      </c>
    </row>
    <row r="759" spans="1:2" x14ac:dyDescent="0.3">
      <c r="A759">
        <v>24.9</v>
      </c>
      <c r="B759">
        <v>-43.39</v>
      </c>
    </row>
    <row r="760" spans="1:2" x14ac:dyDescent="0.3">
      <c r="A760">
        <v>24.95</v>
      </c>
      <c r="B760">
        <v>-43.39</v>
      </c>
    </row>
    <row r="761" spans="1:2" x14ac:dyDescent="0.3">
      <c r="A761">
        <v>24.95</v>
      </c>
      <c r="B761">
        <v>-43.44</v>
      </c>
    </row>
    <row r="762" spans="1:2" x14ac:dyDescent="0.3">
      <c r="A762">
        <v>25</v>
      </c>
      <c r="B762">
        <v>-43.44</v>
      </c>
    </row>
    <row r="763" spans="1:2" x14ac:dyDescent="0.3">
      <c r="A763">
        <v>25</v>
      </c>
      <c r="B763">
        <v>-44.56</v>
      </c>
    </row>
    <row r="764" spans="1:2" x14ac:dyDescent="0.3">
      <c r="A764">
        <v>25.05</v>
      </c>
      <c r="B764">
        <v>-44.56</v>
      </c>
    </row>
    <row r="765" spans="1:2" x14ac:dyDescent="0.3">
      <c r="A765">
        <v>25.05</v>
      </c>
      <c r="B765">
        <v>-44.76</v>
      </c>
    </row>
    <row r="766" spans="1:2" x14ac:dyDescent="0.3">
      <c r="A766">
        <v>25.1</v>
      </c>
      <c r="B766">
        <v>-44.76</v>
      </c>
    </row>
    <row r="767" spans="1:2" x14ac:dyDescent="0.3">
      <c r="A767">
        <v>25.1</v>
      </c>
      <c r="B767">
        <v>-44.18</v>
      </c>
    </row>
    <row r="768" spans="1:2" x14ac:dyDescent="0.3">
      <c r="A768">
        <v>25.15</v>
      </c>
      <c r="B768">
        <v>-44.18</v>
      </c>
    </row>
    <row r="769" spans="1:2" x14ac:dyDescent="0.3">
      <c r="A769">
        <v>25.15</v>
      </c>
      <c r="B769">
        <v>-43.73</v>
      </c>
    </row>
    <row r="770" spans="1:2" x14ac:dyDescent="0.3">
      <c r="A770">
        <v>25.2</v>
      </c>
      <c r="B770">
        <v>-43.73</v>
      </c>
    </row>
    <row r="771" spans="1:2" x14ac:dyDescent="0.3">
      <c r="A771">
        <v>25.2</v>
      </c>
      <c r="B771">
        <v>-44.76</v>
      </c>
    </row>
    <row r="772" spans="1:2" x14ac:dyDescent="0.3">
      <c r="A772">
        <v>25.25</v>
      </c>
      <c r="B772">
        <v>-44.76</v>
      </c>
    </row>
    <row r="773" spans="1:2" x14ac:dyDescent="0.3">
      <c r="A773">
        <v>25.25</v>
      </c>
      <c r="B773">
        <v>-44.37</v>
      </c>
    </row>
    <row r="774" spans="1:2" x14ac:dyDescent="0.3">
      <c r="A774">
        <v>25.3</v>
      </c>
      <c r="B774">
        <v>-44.37</v>
      </c>
    </row>
    <row r="775" spans="1:2" x14ac:dyDescent="0.3">
      <c r="A775">
        <v>25.3</v>
      </c>
      <c r="B775">
        <v>-43.45</v>
      </c>
    </row>
    <row r="776" spans="1:2" x14ac:dyDescent="0.3">
      <c r="A776">
        <v>25.35</v>
      </c>
      <c r="B776">
        <v>-43.45</v>
      </c>
    </row>
    <row r="777" spans="1:2" x14ac:dyDescent="0.3">
      <c r="A777">
        <v>25.35</v>
      </c>
      <c r="B777">
        <v>-43.45</v>
      </c>
    </row>
    <row r="778" spans="1:2" x14ac:dyDescent="0.3">
      <c r="A778">
        <v>25.4</v>
      </c>
      <c r="B778">
        <v>-43.45</v>
      </c>
    </row>
    <row r="779" spans="1:2" x14ac:dyDescent="0.3">
      <c r="A779">
        <v>25.4</v>
      </c>
      <c r="B779">
        <v>-44.76</v>
      </c>
    </row>
    <row r="780" spans="1:2" x14ac:dyDescent="0.3">
      <c r="A780">
        <v>25.45</v>
      </c>
      <c r="B780">
        <v>-44.76</v>
      </c>
    </row>
    <row r="781" spans="1:2" x14ac:dyDescent="0.3">
      <c r="A781">
        <v>25.45</v>
      </c>
      <c r="B781">
        <v>-42.46</v>
      </c>
    </row>
    <row r="782" spans="1:2" x14ac:dyDescent="0.3">
      <c r="A782">
        <v>25.5</v>
      </c>
      <c r="B782">
        <v>-42.46</v>
      </c>
    </row>
    <row r="783" spans="1:2" x14ac:dyDescent="0.3">
      <c r="A783">
        <v>25.5</v>
      </c>
      <c r="B783">
        <v>-43.24</v>
      </c>
    </row>
    <row r="784" spans="1:2" x14ac:dyDescent="0.3">
      <c r="A784">
        <v>25.55</v>
      </c>
      <c r="B784">
        <v>-43.24</v>
      </c>
    </row>
    <row r="785" spans="1:2" x14ac:dyDescent="0.3">
      <c r="A785">
        <v>25.55</v>
      </c>
      <c r="B785">
        <v>-42.27</v>
      </c>
    </row>
    <row r="786" spans="1:2" x14ac:dyDescent="0.3">
      <c r="A786">
        <v>25.6</v>
      </c>
      <c r="B786">
        <v>-42.27</v>
      </c>
    </row>
    <row r="787" spans="1:2" x14ac:dyDescent="0.3">
      <c r="A787">
        <v>25.6</v>
      </c>
      <c r="B787">
        <v>-42.76</v>
      </c>
    </row>
    <row r="788" spans="1:2" x14ac:dyDescent="0.3">
      <c r="A788">
        <v>25.65</v>
      </c>
      <c r="B788">
        <v>-42.76</v>
      </c>
    </row>
    <row r="789" spans="1:2" x14ac:dyDescent="0.3">
      <c r="A789">
        <v>25.65</v>
      </c>
      <c r="B789">
        <v>-43.18</v>
      </c>
    </row>
    <row r="790" spans="1:2" x14ac:dyDescent="0.3">
      <c r="A790">
        <v>25.7</v>
      </c>
      <c r="B790">
        <v>-43.18</v>
      </c>
    </row>
    <row r="791" spans="1:2" x14ac:dyDescent="0.3">
      <c r="A791">
        <v>25.7</v>
      </c>
      <c r="B791">
        <v>-42.79</v>
      </c>
    </row>
    <row r="792" spans="1:2" x14ac:dyDescent="0.3">
      <c r="A792">
        <v>25.75</v>
      </c>
      <c r="B792">
        <v>-42.79</v>
      </c>
    </row>
    <row r="793" spans="1:2" x14ac:dyDescent="0.3">
      <c r="A793">
        <v>25.75</v>
      </c>
      <c r="B793">
        <v>-42.67</v>
      </c>
    </row>
    <row r="794" spans="1:2" x14ac:dyDescent="0.3">
      <c r="A794">
        <v>25.8</v>
      </c>
      <c r="B794">
        <v>-42.67</v>
      </c>
    </row>
    <row r="795" spans="1:2" x14ac:dyDescent="0.3">
      <c r="A795">
        <v>25.8</v>
      </c>
      <c r="B795">
        <v>-42.44</v>
      </c>
    </row>
    <row r="796" spans="1:2" x14ac:dyDescent="0.3">
      <c r="A796">
        <v>25.85</v>
      </c>
      <c r="B796">
        <v>-42.44</v>
      </c>
    </row>
    <row r="797" spans="1:2" x14ac:dyDescent="0.3">
      <c r="A797">
        <v>25.85</v>
      </c>
      <c r="B797">
        <v>-42.94</v>
      </c>
    </row>
    <row r="798" spans="1:2" x14ac:dyDescent="0.3">
      <c r="A798">
        <v>25.9</v>
      </c>
      <c r="B798">
        <v>-42.94</v>
      </c>
    </row>
    <row r="799" spans="1:2" x14ac:dyDescent="0.3">
      <c r="A799">
        <v>25.9</v>
      </c>
      <c r="B799">
        <v>-43.79</v>
      </c>
    </row>
    <row r="800" spans="1:2" x14ac:dyDescent="0.3">
      <c r="A800">
        <v>25.95</v>
      </c>
      <c r="B800">
        <v>-43.79</v>
      </c>
    </row>
    <row r="801" spans="1:2" x14ac:dyDescent="0.3">
      <c r="A801">
        <v>25.95</v>
      </c>
      <c r="B801">
        <v>-45.62</v>
      </c>
    </row>
    <row r="802" spans="1:2" x14ac:dyDescent="0.3">
      <c r="A802">
        <v>26</v>
      </c>
      <c r="B802">
        <v>-45.62</v>
      </c>
    </row>
    <row r="803" spans="1:2" x14ac:dyDescent="0.3">
      <c r="A803">
        <v>26</v>
      </c>
      <c r="B803">
        <v>-44.4</v>
      </c>
    </row>
    <row r="804" spans="1:2" x14ac:dyDescent="0.3">
      <c r="A804">
        <v>26.05</v>
      </c>
      <c r="B804">
        <v>-44.4</v>
      </c>
    </row>
    <row r="805" spans="1:2" x14ac:dyDescent="0.3">
      <c r="A805">
        <v>26.05</v>
      </c>
      <c r="B805">
        <v>-43.54</v>
      </c>
    </row>
    <row r="806" spans="1:2" x14ac:dyDescent="0.3">
      <c r="A806">
        <v>26.1</v>
      </c>
      <c r="B806">
        <v>-43.54</v>
      </c>
    </row>
    <row r="807" spans="1:2" x14ac:dyDescent="0.3">
      <c r="A807">
        <v>26.1</v>
      </c>
      <c r="B807">
        <v>-43.17</v>
      </c>
    </row>
    <row r="808" spans="1:2" x14ac:dyDescent="0.3">
      <c r="A808">
        <v>26.15</v>
      </c>
      <c r="B808">
        <v>-43.17</v>
      </c>
    </row>
    <row r="809" spans="1:2" x14ac:dyDescent="0.3">
      <c r="A809">
        <v>26.15</v>
      </c>
      <c r="B809">
        <v>-43.36</v>
      </c>
    </row>
    <row r="810" spans="1:2" x14ac:dyDescent="0.3">
      <c r="A810">
        <v>26.2</v>
      </c>
      <c r="B810">
        <v>-43.36</v>
      </c>
    </row>
    <row r="811" spans="1:2" x14ac:dyDescent="0.3">
      <c r="A811">
        <v>26.2</v>
      </c>
      <c r="B811">
        <v>-44.16</v>
      </c>
    </row>
    <row r="812" spans="1:2" x14ac:dyDescent="0.3">
      <c r="A812">
        <v>26.25</v>
      </c>
      <c r="B812">
        <v>-44.16</v>
      </c>
    </row>
    <row r="813" spans="1:2" x14ac:dyDescent="0.3">
      <c r="A813">
        <v>26.25</v>
      </c>
      <c r="B813">
        <v>-44.07</v>
      </c>
    </row>
    <row r="814" spans="1:2" x14ac:dyDescent="0.3">
      <c r="A814">
        <v>26.3</v>
      </c>
      <c r="B814">
        <v>-44.07</v>
      </c>
    </row>
    <row r="815" spans="1:2" x14ac:dyDescent="0.3">
      <c r="A815">
        <v>26.3</v>
      </c>
      <c r="B815">
        <v>-43.23</v>
      </c>
    </row>
    <row r="816" spans="1:2" x14ac:dyDescent="0.3">
      <c r="A816">
        <v>26.35</v>
      </c>
      <c r="B816">
        <v>-43.23</v>
      </c>
    </row>
    <row r="817" spans="1:2" x14ac:dyDescent="0.3">
      <c r="A817">
        <v>26.35</v>
      </c>
      <c r="B817">
        <v>-43.91</v>
      </c>
    </row>
    <row r="818" spans="1:2" x14ac:dyDescent="0.3">
      <c r="A818">
        <v>26.4</v>
      </c>
      <c r="B818">
        <v>-43.91</v>
      </c>
    </row>
    <row r="819" spans="1:2" x14ac:dyDescent="0.3">
      <c r="A819">
        <v>26.4</v>
      </c>
      <c r="B819">
        <v>-43.47</v>
      </c>
    </row>
    <row r="820" spans="1:2" x14ac:dyDescent="0.3">
      <c r="A820">
        <v>26.45</v>
      </c>
      <c r="B820">
        <v>-43.47</v>
      </c>
    </row>
    <row r="821" spans="1:2" x14ac:dyDescent="0.3">
      <c r="A821">
        <v>26.45</v>
      </c>
      <c r="B821">
        <v>-42.54</v>
      </c>
    </row>
    <row r="822" spans="1:2" x14ac:dyDescent="0.3">
      <c r="A822">
        <v>26.5</v>
      </c>
      <c r="B822">
        <v>-42.54</v>
      </c>
    </row>
    <row r="823" spans="1:2" x14ac:dyDescent="0.3">
      <c r="A823">
        <v>26.5</v>
      </c>
      <c r="B823">
        <v>-43.97</v>
      </c>
    </row>
    <row r="824" spans="1:2" x14ac:dyDescent="0.3">
      <c r="A824">
        <v>26.55</v>
      </c>
      <c r="B824">
        <v>-43.97</v>
      </c>
    </row>
    <row r="825" spans="1:2" x14ac:dyDescent="0.3">
      <c r="A825">
        <v>26.55</v>
      </c>
      <c r="B825">
        <v>-43.97</v>
      </c>
    </row>
    <row r="826" spans="1:2" x14ac:dyDescent="0.3">
      <c r="A826">
        <v>26.6</v>
      </c>
      <c r="B826">
        <v>-43.97</v>
      </c>
    </row>
    <row r="827" spans="1:2" x14ac:dyDescent="0.3">
      <c r="A827">
        <v>26.6</v>
      </c>
      <c r="B827">
        <v>-42.36</v>
      </c>
    </row>
    <row r="828" spans="1:2" x14ac:dyDescent="0.3">
      <c r="A828">
        <v>26.65</v>
      </c>
      <c r="B828">
        <v>-42.36</v>
      </c>
    </row>
    <row r="829" spans="1:2" x14ac:dyDescent="0.3">
      <c r="A829">
        <v>26.65</v>
      </c>
      <c r="B829">
        <v>-42.63</v>
      </c>
    </row>
    <row r="830" spans="1:2" x14ac:dyDescent="0.3">
      <c r="A830">
        <v>26.7</v>
      </c>
      <c r="B830">
        <v>-42.63</v>
      </c>
    </row>
    <row r="831" spans="1:2" x14ac:dyDescent="0.3">
      <c r="A831">
        <v>26.7</v>
      </c>
      <c r="B831">
        <v>-43.45</v>
      </c>
    </row>
    <row r="832" spans="1:2" x14ac:dyDescent="0.3">
      <c r="A832">
        <v>26.75</v>
      </c>
      <c r="B832">
        <v>-43.45</v>
      </c>
    </row>
    <row r="833" spans="1:2" x14ac:dyDescent="0.3">
      <c r="A833">
        <v>26.75</v>
      </c>
      <c r="B833">
        <v>-43.35</v>
      </c>
    </row>
    <row r="834" spans="1:2" x14ac:dyDescent="0.3">
      <c r="A834">
        <v>26.8</v>
      </c>
      <c r="B834">
        <v>-43.35</v>
      </c>
    </row>
    <row r="835" spans="1:2" x14ac:dyDescent="0.3">
      <c r="A835">
        <v>26.8</v>
      </c>
      <c r="B835">
        <v>-43.08</v>
      </c>
    </row>
    <row r="836" spans="1:2" x14ac:dyDescent="0.3">
      <c r="A836">
        <v>26.85</v>
      </c>
      <c r="B836">
        <v>-43.08</v>
      </c>
    </row>
    <row r="837" spans="1:2" x14ac:dyDescent="0.3">
      <c r="A837">
        <v>26.85</v>
      </c>
      <c r="B837">
        <v>-44.06</v>
      </c>
    </row>
    <row r="838" spans="1:2" x14ac:dyDescent="0.3">
      <c r="A838">
        <v>26.9</v>
      </c>
      <c r="B838">
        <v>-44.06</v>
      </c>
    </row>
    <row r="839" spans="1:2" x14ac:dyDescent="0.3">
      <c r="A839">
        <v>26.9</v>
      </c>
      <c r="B839">
        <v>-44.4</v>
      </c>
    </row>
    <row r="840" spans="1:2" x14ac:dyDescent="0.3">
      <c r="A840">
        <v>26.95</v>
      </c>
      <c r="B840">
        <v>-44.4</v>
      </c>
    </row>
    <row r="841" spans="1:2" x14ac:dyDescent="0.3">
      <c r="A841">
        <v>26.95</v>
      </c>
      <c r="B841">
        <v>-44.58</v>
      </c>
    </row>
    <row r="842" spans="1:2" x14ac:dyDescent="0.3">
      <c r="A842">
        <v>27</v>
      </c>
      <c r="B842">
        <v>-44.58</v>
      </c>
    </row>
    <row r="843" spans="1:2" x14ac:dyDescent="0.3">
      <c r="A843">
        <v>27</v>
      </c>
      <c r="B843">
        <v>-43.61</v>
      </c>
    </row>
    <row r="844" spans="1:2" x14ac:dyDescent="0.3">
      <c r="A844">
        <v>27.05</v>
      </c>
      <c r="B844">
        <v>-43.61</v>
      </c>
    </row>
    <row r="845" spans="1:2" x14ac:dyDescent="0.3">
      <c r="A845">
        <v>27.05</v>
      </c>
      <c r="B845">
        <v>-43.03</v>
      </c>
    </row>
    <row r="846" spans="1:2" x14ac:dyDescent="0.3">
      <c r="A846">
        <v>27.1</v>
      </c>
      <c r="B846">
        <v>-43.03</v>
      </c>
    </row>
    <row r="847" spans="1:2" x14ac:dyDescent="0.3">
      <c r="A847">
        <v>27.1</v>
      </c>
      <c r="B847">
        <v>-41.42</v>
      </c>
    </row>
    <row r="848" spans="1:2" x14ac:dyDescent="0.3">
      <c r="A848">
        <v>27.15</v>
      </c>
      <c r="B848">
        <v>-41.42</v>
      </c>
    </row>
    <row r="849" spans="1:2" x14ac:dyDescent="0.3">
      <c r="A849">
        <v>27.15</v>
      </c>
      <c r="B849">
        <v>-40.72</v>
      </c>
    </row>
    <row r="850" spans="1:2" x14ac:dyDescent="0.3">
      <c r="A850">
        <v>27.2</v>
      </c>
      <c r="B850">
        <v>-40.72</v>
      </c>
    </row>
    <row r="851" spans="1:2" x14ac:dyDescent="0.3">
      <c r="A851">
        <v>27.2</v>
      </c>
      <c r="B851">
        <v>-39.619999999999997</v>
      </c>
    </row>
    <row r="852" spans="1:2" x14ac:dyDescent="0.3">
      <c r="A852">
        <v>27.25</v>
      </c>
      <c r="B852">
        <v>-39.619999999999997</v>
      </c>
    </row>
    <row r="853" spans="1:2" x14ac:dyDescent="0.3">
      <c r="A853">
        <v>27.25</v>
      </c>
      <c r="B853">
        <v>-39.4</v>
      </c>
    </row>
    <row r="854" spans="1:2" x14ac:dyDescent="0.3">
      <c r="A854">
        <v>27.3</v>
      </c>
      <c r="B854">
        <v>-39.4</v>
      </c>
    </row>
    <row r="855" spans="1:2" x14ac:dyDescent="0.3">
      <c r="A855">
        <v>27.3</v>
      </c>
      <c r="B855">
        <v>-38.369999999999997</v>
      </c>
    </row>
    <row r="856" spans="1:2" x14ac:dyDescent="0.3">
      <c r="A856">
        <v>27.35</v>
      </c>
      <c r="B856">
        <v>-38.369999999999997</v>
      </c>
    </row>
    <row r="857" spans="1:2" x14ac:dyDescent="0.3">
      <c r="A857">
        <v>27.35</v>
      </c>
      <c r="B857">
        <v>-43.2</v>
      </c>
    </row>
    <row r="858" spans="1:2" x14ac:dyDescent="0.3">
      <c r="A858">
        <v>27.4</v>
      </c>
      <c r="B858">
        <v>-43.2</v>
      </c>
    </row>
    <row r="859" spans="1:2" x14ac:dyDescent="0.3">
      <c r="A859">
        <v>27.4</v>
      </c>
      <c r="B859">
        <v>-43.72</v>
      </c>
    </row>
    <row r="860" spans="1:2" x14ac:dyDescent="0.3">
      <c r="A860">
        <v>27.45</v>
      </c>
      <c r="B860">
        <v>-43.72</v>
      </c>
    </row>
    <row r="861" spans="1:2" x14ac:dyDescent="0.3">
      <c r="A861">
        <v>27.45</v>
      </c>
      <c r="B861">
        <v>-43.82</v>
      </c>
    </row>
    <row r="862" spans="1:2" x14ac:dyDescent="0.3">
      <c r="A862">
        <v>27.5</v>
      </c>
      <c r="B862">
        <v>-43.82</v>
      </c>
    </row>
    <row r="863" spans="1:2" x14ac:dyDescent="0.3">
      <c r="A863">
        <v>27.5</v>
      </c>
      <c r="B863">
        <v>-43.85</v>
      </c>
    </row>
    <row r="864" spans="1:2" x14ac:dyDescent="0.3">
      <c r="A864">
        <v>27.55</v>
      </c>
      <c r="B864">
        <v>-43.85</v>
      </c>
    </row>
    <row r="865" spans="1:2" x14ac:dyDescent="0.3">
      <c r="A865">
        <v>27.55</v>
      </c>
      <c r="B865">
        <v>-44.84</v>
      </c>
    </row>
    <row r="866" spans="1:2" x14ac:dyDescent="0.3">
      <c r="A866">
        <v>27.6</v>
      </c>
      <c r="B866">
        <v>-44.84</v>
      </c>
    </row>
    <row r="867" spans="1:2" x14ac:dyDescent="0.3">
      <c r="A867">
        <v>27.6</v>
      </c>
      <c r="B867">
        <v>-44.2</v>
      </c>
    </row>
    <row r="868" spans="1:2" x14ac:dyDescent="0.3">
      <c r="A868">
        <v>27.65</v>
      </c>
      <c r="B868">
        <v>-44.2</v>
      </c>
    </row>
    <row r="869" spans="1:2" x14ac:dyDescent="0.3">
      <c r="A869">
        <v>27.65</v>
      </c>
      <c r="B869">
        <v>-44.58</v>
      </c>
    </row>
    <row r="870" spans="1:2" x14ac:dyDescent="0.3">
      <c r="A870">
        <v>27.7</v>
      </c>
      <c r="B870">
        <v>-44.58</v>
      </c>
    </row>
    <row r="871" spans="1:2" x14ac:dyDescent="0.3">
      <c r="A871">
        <v>27.7</v>
      </c>
      <c r="B871">
        <v>-44.05</v>
      </c>
    </row>
    <row r="872" spans="1:2" x14ac:dyDescent="0.3">
      <c r="A872">
        <v>27.75</v>
      </c>
      <c r="B872">
        <v>-44.05</v>
      </c>
    </row>
    <row r="873" spans="1:2" x14ac:dyDescent="0.3">
      <c r="A873">
        <v>27.75</v>
      </c>
      <c r="B873">
        <v>-44.15</v>
      </c>
    </row>
    <row r="874" spans="1:2" x14ac:dyDescent="0.3">
      <c r="A874">
        <v>27.8</v>
      </c>
      <c r="B874">
        <v>-44.15</v>
      </c>
    </row>
    <row r="875" spans="1:2" x14ac:dyDescent="0.3">
      <c r="A875">
        <v>27.8</v>
      </c>
      <c r="B875">
        <v>-44.48</v>
      </c>
    </row>
    <row r="876" spans="1:2" x14ac:dyDescent="0.3">
      <c r="A876">
        <v>27.85</v>
      </c>
      <c r="B876">
        <v>-44.48</v>
      </c>
    </row>
    <row r="877" spans="1:2" x14ac:dyDescent="0.3">
      <c r="A877">
        <v>27.85</v>
      </c>
      <c r="B877">
        <v>-43.75</v>
      </c>
    </row>
    <row r="878" spans="1:2" x14ac:dyDescent="0.3">
      <c r="A878">
        <v>27.9</v>
      </c>
      <c r="B878">
        <v>-43.75</v>
      </c>
    </row>
    <row r="879" spans="1:2" x14ac:dyDescent="0.3">
      <c r="A879">
        <v>27.9</v>
      </c>
      <c r="B879">
        <v>-44.7</v>
      </c>
    </row>
    <row r="880" spans="1:2" x14ac:dyDescent="0.3">
      <c r="A880">
        <v>27.95</v>
      </c>
      <c r="B880">
        <v>-44.7</v>
      </c>
    </row>
    <row r="881" spans="1:2" x14ac:dyDescent="0.3">
      <c r="A881">
        <v>27.95</v>
      </c>
      <c r="B881">
        <v>-43.59</v>
      </c>
    </row>
    <row r="882" spans="1:2" x14ac:dyDescent="0.3">
      <c r="A882">
        <v>28</v>
      </c>
      <c r="B882">
        <v>-43.59</v>
      </c>
    </row>
    <row r="883" spans="1:2" x14ac:dyDescent="0.3">
      <c r="A883">
        <v>28</v>
      </c>
      <c r="B883">
        <v>-43.78</v>
      </c>
    </row>
    <row r="884" spans="1:2" x14ac:dyDescent="0.3">
      <c r="A884">
        <v>28.05</v>
      </c>
      <c r="B884">
        <v>-43.78</v>
      </c>
    </row>
    <row r="885" spans="1:2" x14ac:dyDescent="0.3">
      <c r="A885">
        <v>28.05</v>
      </c>
      <c r="B885">
        <v>-44.28</v>
      </c>
    </row>
    <row r="886" spans="1:2" x14ac:dyDescent="0.3">
      <c r="A886">
        <v>28.1</v>
      </c>
      <c r="B886">
        <v>-44.28</v>
      </c>
    </row>
    <row r="887" spans="1:2" x14ac:dyDescent="0.3">
      <c r="A887">
        <v>28.1</v>
      </c>
      <c r="B887">
        <v>-43.2</v>
      </c>
    </row>
    <row r="888" spans="1:2" x14ac:dyDescent="0.3">
      <c r="A888">
        <v>28.15</v>
      </c>
      <c r="B888">
        <v>-43.2</v>
      </c>
    </row>
    <row r="889" spans="1:2" x14ac:dyDescent="0.3">
      <c r="A889">
        <v>28.15</v>
      </c>
      <c r="B889">
        <v>-43.23</v>
      </c>
    </row>
    <row r="890" spans="1:2" x14ac:dyDescent="0.3">
      <c r="A890">
        <v>28.2</v>
      </c>
      <c r="B890">
        <v>-43.23</v>
      </c>
    </row>
    <row r="891" spans="1:2" x14ac:dyDescent="0.3">
      <c r="A891">
        <v>28.2</v>
      </c>
      <c r="B891">
        <v>-40.58</v>
      </c>
    </row>
    <row r="892" spans="1:2" x14ac:dyDescent="0.3">
      <c r="A892">
        <v>28.25</v>
      </c>
      <c r="B892">
        <v>-40.58</v>
      </c>
    </row>
    <row r="893" spans="1:2" x14ac:dyDescent="0.3">
      <c r="A893">
        <v>28.25</v>
      </c>
      <c r="B893">
        <v>-40.33</v>
      </c>
    </row>
    <row r="894" spans="1:2" x14ac:dyDescent="0.3">
      <c r="A894">
        <v>28.3</v>
      </c>
      <c r="B894">
        <v>-40.33</v>
      </c>
    </row>
    <row r="895" spans="1:2" x14ac:dyDescent="0.3">
      <c r="A895">
        <v>28.3</v>
      </c>
      <c r="B895">
        <v>-40.450000000000003</v>
      </c>
    </row>
    <row r="896" spans="1:2" x14ac:dyDescent="0.3">
      <c r="A896">
        <v>28.35</v>
      </c>
      <c r="B896">
        <v>-40.450000000000003</v>
      </c>
    </row>
    <row r="897" spans="1:2" x14ac:dyDescent="0.3">
      <c r="A897">
        <v>28.35</v>
      </c>
      <c r="B897">
        <v>-40.36</v>
      </c>
    </row>
    <row r="898" spans="1:2" x14ac:dyDescent="0.3">
      <c r="A898">
        <v>28.4</v>
      </c>
      <c r="B898">
        <v>-40.36</v>
      </c>
    </row>
    <row r="899" spans="1:2" x14ac:dyDescent="0.3">
      <c r="A899">
        <v>28.4</v>
      </c>
      <c r="B899">
        <v>-39.020000000000003</v>
      </c>
    </row>
    <row r="900" spans="1:2" x14ac:dyDescent="0.3">
      <c r="A900">
        <v>28.45</v>
      </c>
      <c r="B900">
        <v>-39.020000000000003</v>
      </c>
    </row>
    <row r="901" spans="1:2" x14ac:dyDescent="0.3">
      <c r="A901">
        <v>28.45</v>
      </c>
      <c r="B901">
        <v>-40.229999999999997</v>
      </c>
    </row>
    <row r="902" spans="1:2" x14ac:dyDescent="0.3">
      <c r="A902">
        <v>28.5</v>
      </c>
      <c r="B902">
        <v>-40.229999999999997</v>
      </c>
    </row>
    <row r="903" spans="1:2" x14ac:dyDescent="0.3">
      <c r="A903">
        <v>28.5</v>
      </c>
      <c r="B903">
        <v>-42.5</v>
      </c>
    </row>
    <row r="904" spans="1:2" x14ac:dyDescent="0.3">
      <c r="A904">
        <v>28.55</v>
      </c>
      <c r="B904">
        <v>-42.5</v>
      </c>
    </row>
    <row r="905" spans="1:2" x14ac:dyDescent="0.3">
      <c r="A905">
        <v>28.55</v>
      </c>
      <c r="B905">
        <v>-43.6</v>
      </c>
    </row>
    <row r="906" spans="1:2" x14ac:dyDescent="0.3">
      <c r="A906">
        <v>28.6</v>
      </c>
      <c r="B906">
        <v>-43.6</v>
      </c>
    </row>
    <row r="907" spans="1:2" x14ac:dyDescent="0.3">
      <c r="A907">
        <v>28.6</v>
      </c>
      <c r="B907">
        <v>-44.37</v>
      </c>
    </row>
    <row r="908" spans="1:2" x14ac:dyDescent="0.3">
      <c r="A908">
        <v>28.65</v>
      </c>
      <c r="B908">
        <v>-44.37</v>
      </c>
    </row>
    <row r="909" spans="1:2" x14ac:dyDescent="0.3">
      <c r="A909">
        <v>28.65</v>
      </c>
      <c r="B909">
        <v>-44.08</v>
      </c>
    </row>
    <row r="910" spans="1:2" x14ac:dyDescent="0.3">
      <c r="A910">
        <v>28.7</v>
      </c>
      <c r="B910">
        <v>-44.08</v>
      </c>
    </row>
    <row r="911" spans="1:2" x14ac:dyDescent="0.3">
      <c r="A911">
        <v>28.7</v>
      </c>
      <c r="B911">
        <v>-44.54</v>
      </c>
    </row>
    <row r="912" spans="1:2" x14ac:dyDescent="0.3">
      <c r="A912">
        <v>28.75</v>
      </c>
      <c r="B912">
        <v>-44.54</v>
      </c>
    </row>
    <row r="913" spans="1:2" x14ac:dyDescent="0.3">
      <c r="A913">
        <v>28.75</v>
      </c>
      <c r="B913">
        <v>-43.71</v>
      </c>
    </row>
    <row r="914" spans="1:2" x14ac:dyDescent="0.3">
      <c r="A914">
        <v>28.8</v>
      </c>
      <c r="B914">
        <v>-43.71</v>
      </c>
    </row>
    <row r="915" spans="1:2" x14ac:dyDescent="0.3">
      <c r="A915">
        <v>28.8</v>
      </c>
      <c r="B915">
        <v>-44.13</v>
      </c>
    </row>
    <row r="916" spans="1:2" x14ac:dyDescent="0.3">
      <c r="A916">
        <v>28.85</v>
      </c>
      <c r="B916">
        <v>-44.13</v>
      </c>
    </row>
    <row r="917" spans="1:2" x14ac:dyDescent="0.3">
      <c r="A917">
        <v>28.85</v>
      </c>
      <c r="B917">
        <v>-44.32</v>
      </c>
    </row>
    <row r="918" spans="1:2" x14ac:dyDescent="0.3">
      <c r="A918">
        <v>28.9</v>
      </c>
      <c r="B918">
        <v>-44.32</v>
      </c>
    </row>
    <row r="919" spans="1:2" x14ac:dyDescent="0.3">
      <c r="A919">
        <v>28.9</v>
      </c>
      <c r="B919">
        <v>-43.65</v>
      </c>
    </row>
    <row r="920" spans="1:2" x14ac:dyDescent="0.3">
      <c r="A920">
        <v>28.95</v>
      </c>
      <c r="B920">
        <v>-43.65</v>
      </c>
    </row>
    <row r="921" spans="1:2" x14ac:dyDescent="0.3">
      <c r="A921">
        <v>28.95</v>
      </c>
      <c r="B921">
        <v>-43.51</v>
      </c>
    </row>
    <row r="922" spans="1:2" x14ac:dyDescent="0.3">
      <c r="A922">
        <v>29</v>
      </c>
      <c r="B922">
        <v>-43.51</v>
      </c>
    </row>
    <row r="923" spans="1:2" x14ac:dyDescent="0.3">
      <c r="A923">
        <v>29</v>
      </c>
      <c r="B923">
        <v>-44.14</v>
      </c>
    </row>
    <row r="924" spans="1:2" x14ac:dyDescent="0.3">
      <c r="A924">
        <v>29.05</v>
      </c>
      <c r="B924">
        <v>-44.14</v>
      </c>
    </row>
    <row r="925" spans="1:2" x14ac:dyDescent="0.3">
      <c r="A925">
        <v>29.05</v>
      </c>
      <c r="B925">
        <v>-45.07</v>
      </c>
    </row>
    <row r="926" spans="1:2" x14ac:dyDescent="0.3">
      <c r="A926">
        <v>29.1</v>
      </c>
      <c r="B926">
        <v>-45.07</v>
      </c>
    </row>
    <row r="927" spans="1:2" x14ac:dyDescent="0.3">
      <c r="A927">
        <v>29.1</v>
      </c>
      <c r="B927">
        <v>-44.35</v>
      </c>
    </row>
    <row r="928" spans="1:2" x14ac:dyDescent="0.3">
      <c r="A928">
        <v>29.15</v>
      </c>
      <c r="B928">
        <v>-44.35</v>
      </c>
    </row>
    <row r="929" spans="1:2" x14ac:dyDescent="0.3">
      <c r="A929">
        <v>29.15</v>
      </c>
      <c r="B929">
        <v>-45.82</v>
      </c>
    </row>
    <row r="930" spans="1:2" x14ac:dyDescent="0.3">
      <c r="A930">
        <v>29.2</v>
      </c>
      <c r="B930">
        <v>-45.82</v>
      </c>
    </row>
    <row r="931" spans="1:2" x14ac:dyDescent="0.3">
      <c r="A931">
        <v>29.2</v>
      </c>
      <c r="B931">
        <v>-44.57</v>
      </c>
    </row>
    <row r="932" spans="1:2" x14ac:dyDescent="0.3">
      <c r="A932">
        <v>29.25</v>
      </c>
      <c r="B932">
        <v>-44.57</v>
      </c>
    </row>
    <row r="933" spans="1:2" x14ac:dyDescent="0.3">
      <c r="A933">
        <v>29.25</v>
      </c>
      <c r="B933">
        <v>-45.22</v>
      </c>
    </row>
    <row r="934" spans="1:2" x14ac:dyDescent="0.3">
      <c r="A934">
        <v>29.3</v>
      </c>
      <c r="B934">
        <v>-45.22</v>
      </c>
    </row>
    <row r="935" spans="1:2" x14ac:dyDescent="0.3">
      <c r="A935">
        <v>29.3</v>
      </c>
      <c r="B935">
        <v>-44.39</v>
      </c>
    </row>
    <row r="936" spans="1:2" x14ac:dyDescent="0.3">
      <c r="A936">
        <v>29.35</v>
      </c>
      <c r="B936">
        <v>-44.39</v>
      </c>
    </row>
    <row r="937" spans="1:2" x14ac:dyDescent="0.3">
      <c r="A937">
        <v>29.35</v>
      </c>
      <c r="B937">
        <v>-44.15</v>
      </c>
    </row>
    <row r="938" spans="1:2" x14ac:dyDescent="0.3">
      <c r="A938">
        <v>29.4</v>
      </c>
      <c r="B938">
        <v>-44.15</v>
      </c>
    </row>
    <row r="939" spans="1:2" x14ac:dyDescent="0.3">
      <c r="A939">
        <v>29.4</v>
      </c>
      <c r="B939">
        <v>-44.31</v>
      </c>
    </row>
    <row r="940" spans="1:2" x14ac:dyDescent="0.3">
      <c r="A940">
        <v>29.45</v>
      </c>
      <c r="B940">
        <v>-44.31</v>
      </c>
    </row>
    <row r="941" spans="1:2" x14ac:dyDescent="0.3">
      <c r="A941">
        <v>29.45</v>
      </c>
      <c r="B941">
        <v>-44.51</v>
      </c>
    </row>
    <row r="942" spans="1:2" x14ac:dyDescent="0.3">
      <c r="A942">
        <v>29.5</v>
      </c>
      <c r="B942">
        <v>-44.51</v>
      </c>
    </row>
    <row r="943" spans="1:2" x14ac:dyDescent="0.3">
      <c r="A943">
        <v>29.5</v>
      </c>
      <c r="B943">
        <v>-44.06</v>
      </c>
    </row>
    <row r="944" spans="1:2" x14ac:dyDescent="0.3">
      <c r="A944">
        <v>29.55</v>
      </c>
      <c r="B944">
        <v>-44.06</v>
      </c>
    </row>
    <row r="945" spans="1:2" x14ac:dyDescent="0.3">
      <c r="A945">
        <v>29.55</v>
      </c>
      <c r="B945">
        <v>-43.98</v>
      </c>
    </row>
    <row r="946" spans="1:2" x14ac:dyDescent="0.3">
      <c r="A946">
        <v>29.6</v>
      </c>
      <c r="B946">
        <v>-43.98</v>
      </c>
    </row>
    <row r="947" spans="1:2" x14ac:dyDescent="0.3">
      <c r="A947">
        <v>29.6</v>
      </c>
      <c r="B947">
        <v>-44.83</v>
      </c>
    </row>
    <row r="948" spans="1:2" x14ac:dyDescent="0.3">
      <c r="A948">
        <v>29.65</v>
      </c>
      <c r="B948">
        <v>-44.83</v>
      </c>
    </row>
    <row r="949" spans="1:2" x14ac:dyDescent="0.3">
      <c r="A949">
        <v>29.65</v>
      </c>
      <c r="B949">
        <v>-44.47</v>
      </c>
    </row>
    <row r="950" spans="1:2" x14ac:dyDescent="0.3">
      <c r="A950">
        <v>29.7</v>
      </c>
      <c r="B950">
        <v>-44.47</v>
      </c>
    </row>
    <row r="951" spans="1:2" x14ac:dyDescent="0.3">
      <c r="A951">
        <v>29.7</v>
      </c>
      <c r="B951">
        <v>-45.11</v>
      </c>
    </row>
    <row r="952" spans="1:2" x14ac:dyDescent="0.3">
      <c r="A952">
        <v>29.75</v>
      </c>
      <c r="B952">
        <v>-45.11</v>
      </c>
    </row>
    <row r="953" spans="1:2" x14ac:dyDescent="0.3">
      <c r="A953">
        <v>29.75</v>
      </c>
      <c r="B953">
        <v>-44.22</v>
      </c>
    </row>
    <row r="954" spans="1:2" x14ac:dyDescent="0.3">
      <c r="A954">
        <v>29.8</v>
      </c>
      <c r="B954">
        <v>-44.22</v>
      </c>
    </row>
    <row r="955" spans="1:2" x14ac:dyDescent="0.3">
      <c r="A955">
        <v>29.8</v>
      </c>
      <c r="B955">
        <v>-44.37</v>
      </c>
    </row>
    <row r="956" spans="1:2" x14ac:dyDescent="0.3">
      <c r="A956">
        <v>29.85</v>
      </c>
      <c r="B956">
        <v>-44.37</v>
      </c>
    </row>
    <row r="957" spans="1:2" x14ac:dyDescent="0.3">
      <c r="A957">
        <v>29.85</v>
      </c>
      <c r="B957">
        <v>-45.09</v>
      </c>
    </row>
    <row r="958" spans="1:2" x14ac:dyDescent="0.3">
      <c r="A958">
        <v>29.9</v>
      </c>
      <c r="B958">
        <v>-45.09</v>
      </c>
    </row>
    <row r="959" spans="1:2" x14ac:dyDescent="0.3">
      <c r="A959">
        <v>29.9</v>
      </c>
      <c r="B959">
        <v>-43.74</v>
      </c>
    </row>
    <row r="960" spans="1:2" x14ac:dyDescent="0.3">
      <c r="A960">
        <v>29.95</v>
      </c>
      <c r="B960">
        <v>-43.74</v>
      </c>
    </row>
    <row r="961" spans="1:2" x14ac:dyDescent="0.3">
      <c r="A961">
        <v>29.95</v>
      </c>
      <c r="B961">
        <v>-44.04</v>
      </c>
    </row>
    <row r="962" spans="1:2" x14ac:dyDescent="0.3">
      <c r="A962">
        <v>30</v>
      </c>
      <c r="B962">
        <v>-44.04</v>
      </c>
    </row>
    <row r="963" spans="1:2" x14ac:dyDescent="0.3">
      <c r="A963">
        <v>30</v>
      </c>
      <c r="B963">
        <v>-44.88</v>
      </c>
    </row>
    <row r="964" spans="1:2" x14ac:dyDescent="0.3">
      <c r="A964">
        <v>30.05</v>
      </c>
      <c r="B964">
        <v>-44.88</v>
      </c>
    </row>
    <row r="965" spans="1:2" x14ac:dyDescent="0.3">
      <c r="A965">
        <v>30.05</v>
      </c>
      <c r="B965">
        <v>-43.76</v>
      </c>
    </row>
    <row r="966" spans="1:2" x14ac:dyDescent="0.3">
      <c r="A966">
        <v>30.1</v>
      </c>
      <c r="B966">
        <v>-43.76</v>
      </c>
    </row>
    <row r="967" spans="1:2" x14ac:dyDescent="0.3">
      <c r="A967">
        <v>30.1</v>
      </c>
      <c r="B967">
        <v>-43.35</v>
      </c>
    </row>
    <row r="968" spans="1:2" x14ac:dyDescent="0.3">
      <c r="A968">
        <v>30.15</v>
      </c>
      <c r="B968">
        <v>-43.35</v>
      </c>
    </row>
    <row r="969" spans="1:2" x14ac:dyDescent="0.3">
      <c r="A969">
        <v>30.15</v>
      </c>
      <c r="B969">
        <v>-43.83</v>
      </c>
    </row>
    <row r="970" spans="1:2" x14ac:dyDescent="0.3">
      <c r="A970">
        <v>30.2</v>
      </c>
      <c r="B970">
        <v>-43.83</v>
      </c>
    </row>
    <row r="971" spans="1:2" x14ac:dyDescent="0.3">
      <c r="A971">
        <v>30.2</v>
      </c>
      <c r="B971">
        <v>-42.23</v>
      </c>
    </row>
    <row r="972" spans="1:2" x14ac:dyDescent="0.3">
      <c r="A972">
        <v>30.25</v>
      </c>
      <c r="B972">
        <v>-42.23</v>
      </c>
    </row>
    <row r="973" spans="1:2" x14ac:dyDescent="0.3">
      <c r="A973">
        <v>30.25</v>
      </c>
      <c r="B973">
        <v>-42.37</v>
      </c>
    </row>
    <row r="974" spans="1:2" x14ac:dyDescent="0.3">
      <c r="A974">
        <v>30.3</v>
      </c>
      <c r="B974">
        <v>-42.37</v>
      </c>
    </row>
    <row r="975" spans="1:2" x14ac:dyDescent="0.3">
      <c r="A975">
        <v>30.3</v>
      </c>
      <c r="B975">
        <v>-43</v>
      </c>
    </row>
    <row r="976" spans="1:2" x14ac:dyDescent="0.3">
      <c r="A976">
        <v>30.35</v>
      </c>
      <c r="B976">
        <v>-43</v>
      </c>
    </row>
    <row r="977" spans="1:2" x14ac:dyDescent="0.3">
      <c r="A977">
        <v>30.35</v>
      </c>
      <c r="B977">
        <v>-43.85</v>
      </c>
    </row>
    <row r="978" spans="1:2" x14ac:dyDescent="0.3">
      <c r="A978">
        <v>30.4</v>
      </c>
      <c r="B978">
        <v>-43.85</v>
      </c>
    </row>
    <row r="979" spans="1:2" x14ac:dyDescent="0.3">
      <c r="A979">
        <v>30.4</v>
      </c>
      <c r="B979">
        <v>-43.12</v>
      </c>
    </row>
    <row r="980" spans="1:2" x14ac:dyDescent="0.3">
      <c r="A980">
        <v>30.45</v>
      </c>
      <c r="B980">
        <v>-43.12</v>
      </c>
    </row>
    <row r="981" spans="1:2" x14ac:dyDescent="0.3">
      <c r="A981">
        <v>30.45</v>
      </c>
      <c r="B981">
        <v>-43.65</v>
      </c>
    </row>
    <row r="982" spans="1:2" x14ac:dyDescent="0.3">
      <c r="A982">
        <v>30.5</v>
      </c>
      <c r="B982">
        <v>-43.65</v>
      </c>
    </row>
    <row r="983" spans="1:2" x14ac:dyDescent="0.3">
      <c r="A983">
        <v>30.5</v>
      </c>
      <c r="B983">
        <v>-44.24</v>
      </c>
    </row>
    <row r="984" spans="1:2" x14ac:dyDescent="0.3">
      <c r="A984">
        <v>30.55</v>
      </c>
      <c r="B984">
        <v>-44.24</v>
      </c>
    </row>
    <row r="985" spans="1:2" x14ac:dyDescent="0.3">
      <c r="A985">
        <v>30.55</v>
      </c>
      <c r="B985">
        <v>-44.21</v>
      </c>
    </row>
    <row r="986" spans="1:2" x14ac:dyDescent="0.3">
      <c r="A986">
        <v>30.6</v>
      </c>
      <c r="B986">
        <v>-44.21</v>
      </c>
    </row>
    <row r="987" spans="1:2" x14ac:dyDescent="0.3">
      <c r="A987">
        <v>30.6</v>
      </c>
      <c r="B987">
        <v>-43.66</v>
      </c>
    </row>
    <row r="988" spans="1:2" x14ac:dyDescent="0.3">
      <c r="A988">
        <v>30.65</v>
      </c>
      <c r="B988">
        <v>-43.66</v>
      </c>
    </row>
    <row r="989" spans="1:2" x14ac:dyDescent="0.3">
      <c r="A989">
        <v>30.65</v>
      </c>
      <c r="B989">
        <v>-43.89</v>
      </c>
    </row>
    <row r="990" spans="1:2" x14ac:dyDescent="0.3">
      <c r="A990">
        <v>30.7</v>
      </c>
      <c r="B990">
        <v>-43.89</v>
      </c>
    </row>
    <row r="991" spans="1:2" x14ac:dyDescent="0.3">
      <c r="A991">
        <v>30.7</v>
      </c>
      <c r="B991">
        <v>-43.58</v>
      </c>
    </row>
    <row r="992" spans="1:2" x14ac:dyDescent="0.3">
      <c r="A992">
        <v>30.75</v>
      </c>
      <c r="B992">
        <v>-43.58</v>
      </c>
    </row>
    <row r="993" spans="1:2" x14ac:dyDescent="0.3">
      <c r="A993">
        <v>30.75</v>
      </c>
      <c r="B993">
        <v>-43.28</v>
      </c>
    </row>
    <row r="994" spans="1:2" x14ac:dyDescent="0.3">
      <c r="A994">
        <v>30.8</v>
      </c>
      <c r="B994">
        <v>-43.28</v>
      </c>
    </row>
    <row r="995" spans="1:2" x14ac:dyDescent="0.3">
      <c r="A995">
        <v>30.8</v>
      </c>
      <c r="B995">
        <v>-44.29</v>
      </c>
    </row>
    <row r="996" spans="1:2" x14ac:dyDescent="0.3">
      <c r="A996">
        <v>30.85</v>
      </c>
      <c r="B996">
        <v>-44.29</v>
      </c>
    </row>
    <row r="997" spans="1:2" x14ac:dyDescent="0.3">
      <c r="A997">
        <v>30.85</v>
      </c>
      <c r="B997">
        <v>-44.13</v>
      </c>
    </row>
    <row r="998" spans="1:2" x14ac:dyDescent="0.3">
      <c r="A998">
        <v>30.9</v>
      </c>
      <c r="B998">
        <v>-44.13</v>
      </c>
    </row>
    <row r="999" spans="1:2" x14ac:dyDescent="0.3">
      <c r="A999">
        <v>30.9</v>
      </c>
      <c r="B999">
        <v>-43.22</v>
      </c>
    </row>
    <row r="1000" spans="1:2" x14ac:dyDescent="0.3">
      <c r="A1000">
        <v>30.95</v>
      </c>
      <c r="B1000">
        <v>-43.22</v>
      </c>
    </row>
    <row r="1001" spans="1:2" x14ac:dyDescent="0.3">
      <c r="A1001">
        <v>30.95</v>
      </c>
      <c r="B1001">
        <v>-43.74</v>
      </c>
    </row>
    <row r="1002" spans="1:2" x14ac:dyDescent="0.3">
      <c r="A1002">
        <v>31</v>
      </c>
      <c r="B1002">
        <v>-43.74</v>
      </c>
    </row>
    <row r="1003" spans="1:2" x14ac:dyDescent="0.3">
      <c r="A1003">
        <v>31</v>
      </c>
      <c r="B1003">
        <v>-44.21</v>
      </c>
    </row>
    <row r="1004" spans="1:2" x14ac:dyDescent="0.3">
      <c r="A1004">
        <v>31.05</v>
      </c>
      <c r="B1004">
        <v>-44.21</v>
      </c>
    </row>
    <row r="1005" spans="1:2" x14ac:dyDescent="0.3">
      <c r="A1005">
        <v>31.05</v>
      </c>
      <c r="B1005">
        <v>-43.46</v>
      </c>
    </row>
    <row r="1006" spans="1:2" x14ac:dyDescent="0.3">
      <c r="A1006">
        <v>31.1</v>
      </c>
      <c r="B1006">
        <v>-43.46</v>
      </c>
    </row>
    <row r="1007" spans="1:2" x14ac:dyDescent="0.3">
      <c r="A1007">
        <v>31.1</v>
      </c>
      <c r="B1007">
        <v>-43.08</v>
      </c>
    </row>
    <row r="1008" spans="1:2" x14ac:dyDescent="0.3">
      <c r="A1008">
        <v>31.15</v>
      </c>
      <c r="B1008">
        <v>-43.08</v>
      </c>
    </row>
    <row r="1009" spans="1:2" x14ac:dyDescent="0.3">
      <c r="A1009">
        <v>31.15</v>
      </c>
      <c r="B1009">
        <v>-44.4</v>
      </c>
    </row>
    <row r="1010" spans="1:2" x14ac:dyDescent="0.3">
      <c r="A1010">
        <v>31.2</v>
      </c>
      <c r="B1010">
        <v>-44.4</v>
      </c>
    </row>
    <row r="1011" spans="1:2" x14ac:dyDescent="0.3">
      <c r="A1011">
        <v>31.2</v>
      </c>
      <c r="B1011">
        <v>-43.69</v>
      </c>
    </row>
    <row r="1012" spans="1:2" x14ac:dyDescent="0.3">
      <c r="A1012">
        <v>31.25</v>
      </c>
      <c r="B1012">
        <v>-43.69</v>
      </c>
    </row>
    <row r="1013" spans="1:2" x14ac:dyDescent="0.3">
      <c r="A1013">
        <v>31.25</v>
      </c>
      <c r="B1013">
        <v>-44.02</v>
      </c>
    </row>
    <row r="1014" spans="1:2" x14ac:dyDescent="0.3">
      <c r="A1014">
        <v>31.3</v>
      </c>
      <c r="B1014">
        <v>-44.02</v>
      </c>
    </row>
    <row r="1015" spans="1:2" x14ac:dyDescent="0.3">
      <c r="A1015">
        <v>31.3</v>
      </c>
      <c r="B1015">
        <v>-43.95</v>
      </c>
    </row>
    <row r="1016" spans="1:2" x14ac:dyDescent="0.3">
      <c r="A1016">
        <v>31.35</v>
      </c>
      <c r="B1016">
        <v>-43.95</v>
      </c>
    </row>
    <row r="1017" spans="1:2" x14ac:dyDescent="0.3">
      <c r="A1017">
        <v>31.35</v>
      </c>
      <c r="B1017">
        <v>-43.09</v>
      </c>
    </row>
    <row r="1018" spans="1:2" x14ac:dyDescent="0.3">
      <c r="A1018">
        <v>31.4</v>
      </c>
      <c r="B1018">
        <v>-43.09</v>
      </c>
    </row>
    <row r="1019" spans="1:2" x14ac:dyDescent="0.3">
      <c r="A1019">
        <v>31.4</v>
      </c>
      <c r="B1019">
        <v>-43.68</v>
      </c>
    </row>
    <row r="1020" spans="1:2" x14ac:dyDescent="0.3">
      <c r="A1020">
        <v>31.45</v>
      </c>
      <c r="B1020">
        <v>-43.68</v>
      </c>
    </row>
    <row r="1021" spans="1:2" x14ac:dyDescent="0.3">
      <c r="A1021">
        <v>31.45</v>
      </c>
      <c r="B1021">
        <v>-43.39</v>
      </c>
    </row>
    <row r="1022" spans="1:2" x14ac:dyDescent="0.3">
      <c r="A1022">
        <v>31.5</v>
      </c>
      <c r="B1022">
        <v>-43.39</v>
      </c>
    </row>
    <row r="1023" spans="1:2" x14ac:dyDescent="0.3">
      <c r="A1023">
        <v>31.5</v>
      </c>
      <c r="B1023">
        <v>-44.07</v>
      </c>
    </row>
    <row r="1024" spans="1:2" x14ac:dyDescent="0.3">
      <c r="A1024">
        <v>31.55</v>
      </c>
      <c r="B1024">
        <v>-44.07</v>
      </c>
    </row>
    <row r="1025" spans="1:2" x14ac:dyDescent="0.3">
      <c r="A1025">
        <v>31.55</v>
      </c>
      <c r="B1025">
        <v>-43.65</v>
      </c>
    </row>
    <row r="1026" spans="1:2" x14ac:dyDescent="0.3">
      <c r="A1026">
        <v>31.6</v>
      </c>
      <c r="B1026">
        <v>-43.65</v>
      </c>
    </row>
    <row r="1027" spans="1:2" x14ac:dyDescent="0.3">
      <c r="A1027">
        <v>31.6</v>
      </c>
      <c r="B1027">
        <v>-43.96</v>
      </c>
    </row>
    <row r="1028" spans="1:2" x14ac:dyDescent="0.3">
      <c r="A1028">
        <v>31.65</v>
      </c>
      <c r="B1028">
        <v>-43.96</v>
      </c>
    </row>
    <row r="1029" spans="1:2" x14ac:dyDescent="0.3">
      <c r="A1029">
        <v>31.65</v>
      </c>
      <c r="B1029">
        <v>-43.4</v>
      </c>
    </row>
    <row r="1030" spans="1:2" x14ac:dyDescent="0.3">
      <c r="A1030">
        <v>31.7</v>
      </c>
      <c r="B1030">
        <v>-43.4</v>
      </c>
    </row>
    <row r="1031" spans="1:2" x14ac:dyDescent="0.3">
      <c r="A1031">
        <v>31.7</v>
      </c>
      <c r="B1031">
        <v>-43.57</v>
      </c>
    </row>
    <row r="1032" spans="1:2" x14ac:dyDescent="0.3">
      <c r="A1032">
        <v>31.75</v>
      </c>
      <c r="B1032">
        <v>-43.57</v>
      </c>
    </row>
    <row r="1033" spans="1:2" x14ac:dyDescent="0.3">
      <c r="A1033">
        <v>31.75</v>
      </c>
      <c r="B1033">
        <v>-41.55</v>
      </c>
    </row>
    <row r="1034" spans="1:2" x14ac:dyDescent="0.3">
      <c r="A1034">
        <v>31.8</v>
      </c>
      <c r="B1034">
        <v>-41.55</v>
      </c>
    </row>
    <row r="1035" spans="1:2" x14ac:dyDescent="0.3">
      <c r="A1035">
        <v>31.8</v>
      </c>
      <c r="B1035">
        <v>-41.7</v>
      </c>
    </row>
    <row r="1036" spans="1:2" x14ac:dyDescent="0.3">
      <c r="A1036">
        <v>31.85</v>
      </c>
      <c r="B1036">
        <v>-41.7</v>
      </c>
    </row>
    <row r="1037" spans="1:2" x14ac:dyDescent="0.3">
      <c r="A1037">
        <v>31.85</v>
      </c>
      <c r="B1037">
        <v>-40.61</v>
      </c>
    </row>
    <row r="1038" spans="1:2" x14ac:dyDescent="0.3">
      <c r="A1038">
        <v>31.9</v>
      </c>
      <c r="B1038">
        <v>-40.61</v>
      </c>
    </row>
    <row r="1039" spans="1:2" x14ac:dyDescent="0.3">
      <c r="A1039">
        <v>31.9</v>
      </c>
      <c r="B1039">
        <v>-40.299999999999997</v>
      </c>
    </row>
    <row r="1040" spans="1:2" x14ac:dyDescent="0.3">
      <c r="A1040">
        <v>31.95</v>
      </c>
      <c r="B1040">
        <v>-40.299999999999997</v>
      </c>
    </row>
    <row r="1041" spans="1:2" x14ac:dyDescent="0.3">
      <c r="A1041">
        <v>31.95</v>
      </c>
      <c r="B1041">
        <v>-40.43</v>
      </c>
    </row>
    <row r="1042" spans="1:2" x14ac:dyDescent="0.3">
      <c r="A1042">
        <v>32</v>
      </c>
      <c r="B1042">
        <v>-40.43</v>
      </c>
    </row>
    <row r="1043" spans="1:2" x14ac:dyDescent="0.3">
      <c r="A1043">
        <v>32</v>
      </c>
      <c r="B1043">
        <v>-40.4</v>
      </c>
    </row>
    <row r="1044" spans="1:2" x14ac:dyDescent="0.3">
      <c r="A1044">
        <v>32.049999999999997</v>
      </c>
      <c r="B1044">
        <v>-40.4</v>
      </c>
    </row>
    <row r="1045" spans="1:2" x14ac:dyDescent="0.3">
      <c r="A1045">
        <v>32.049999999999997</v>
      </c>
      <c r="B1045">
        <v>-39.94</v>
      </c>
    </row>
    <row r="1046" spans="1:2" x14ac:dyDescent="0.3">
      <c r="A1046">
        <v>32.1</v>
      </c>
      <c r="B1046">
        <v>-39.94</v>
      </c>
    </row>
    <row r="1047" spans="1:2" x14ac:dyDescent="0.3">
      <c r="A1047">
        <v>32.1</v>
      </c>
      <c r="B1047">
        <v>-39.880000000000003</v>
      </c>
    </row>
    <row r="1048" spans="1:2" x14ac:dyDescent="0.3">
      <c r="A1048">
        <v>32.15</v>
      </c>
      <c r="B1048">
        <v>-39.880000000000003</v>
      </c>
    </row>
    <row r="1049" spans="1:2" x14ac:dyDescent="0.3">
      <c r="A1049">
        <v>32.15</v>
      </c>
      <c r="B1049">
        <v>-38.92</v>
      </c>
    </row>
    <row r="1050" spans="1:2" x14ac:dyDescent="0.3">
      <c r="A1050">
        <v>32.200000000000003</v>
      </c>
      <c r="B1050">
        <v>-38.92</v>
      </c>
    </row>
    <row r="1051" spans="1:2" x14ac:dyDescent="0.3">
      <c r="A1051">
        <v>32.200000000000003</v>
      </c>
      <c r="B1051">
        <v>-42.28</v>
      </c>
    </row>
    <row r="1052" spans="1:2" x14ac:dyDescent="0.3">
      <c r="A1052">
        <v>32.25</v>
      </c>
      <c r="B1052">
        <v>-42.28</v>
      </c>
    </row>
    <row r="1053" spans="1:2" x14ac:dyDescent="0.3">
      <c r="A1053">
        <v>32.25</v>
      </c>
      <c r="B1053">
        <v>-43.91</v>
      </c>
    </row>
    <row r="1054" spans="1:2" x14ac:dyDescent="0.3">
      <c r="A1054">
        <v>32.299999999999997</v>
      </c>
      <c r="B1054">
        <v>-43.91</v>
      </c>
    </row>
    <row r="1055" spans="1:2" x14ac:dyDescent="0.3">
      <c r="A1055">
        <v>32.299999999999997</v>
      </c>
      <c r="B1055">
        <v>-43.81</v>
      </c>
    </row>
    <row r="1056" spans="1:2" x14ac:dyDescent="0.3">
      <c r="A1056">
        <v>32.35</v>
      </c>
      <c r="B1056">
        <v>-43.81</v>
      </c>
    </row>
    <row r="1057" spans="1:2" x14ac:dyDescent="0.3">
      <c r="A1057">
        <v>32.35</v>
      </c>
      <c r="B1057">
        <v>-44.18</v>
      </c>
    </row>
    <row r="1058" spans="1:2" x14ac:dyDescent="0.3">
      <c r="A1058">
        <v>32.4</v>
      </c>
      <c r="B1058">
        <v>-44.18</v>
      </c>
    </row>
    <row r="1059" spans="1:2" x14ac:dyDescent="0.3">
      <c r="A1059">
        <v>32.4</v>
      </c>
      <c r="B1059">
        <v>-44.26</v>
      </c>
    </row>
    <row r="1060" spans="1:2" x14ac:dyDescent="0.3">
      <c r="A1060">
        <v>32.450000000000003</v>
      </c>
      <c r="B1060">
        <v>-44.26</v>
      </c>
    </row>
    <row r="1061" spans="1:2" x14ac:dyDescent="0.3">
      <c r="A1061">
        <v>32.450000000000003</v>
      </c>
      <c r="B1061">
        <v>-43.77</v>
      </c>
    </row>
    <row r="1062" spans="1:2" x14ac:dyDescent="0.3">
      <c r="A1062">
        <v>32.5</v>
      </c>
      <c r="B1062">
        <v>-43.77</v>
      </c>
    </row>
    <row r="1063" spans="1:2" x14ac:dyDescent="0.3">
      <c r="A1063">
        <v>32.5</v>
      </c>
      <c r="B1063">
        <v>-44.17</v>
      </c>
    </row>
    <row r="1064" spans="1:2" x14ac:dyDescent="0.3">
      <c r="A1064">
        <v>32.549999999999997</v>
      </c>
      <c r="B1064">
        <v>-44.17</v>
      </c>
    </row>
    <row r="1065" spans="1:2" x14ac:dyDescent="0.3">
      <c r="A1065">
        <v>32.549999999999997</v>
      </c>
      <c r="B1065">
        <v>-44.69</v>
      </c>
    </row>
    <row r="1066" spans="1:2" x14ac:dyDescent="0.3">
      <c r="A1066">
        <v>32.6</v>
      </c>
      <c r="B1066">
        <v>-44.69</v>
      </c>
    </row>
    <row r="1067" spans="1:2" x14ac:dyDescent="0.3">
      <c r="A1067">
        <v>32.6</v>
      </c>
      <c r="B1067">
        <v>-45.14</v>
      </c>
    </row>
    <row r="1068" spans="1:2" x14ac:dyDescent="0.3">
      <c r="A1068">
        <v>32.65</v>
      </c>
      <c r="B1068">
        <v>-45.14</v>
      </c>
    </row>
    <row r="1069" spans="1:2" x14ac:dyDescent="0.3">
      <c r="A1069">
        <v>32.65</v>
      </c>
      <c r="B1069">
        <v>-43.84</v>
      </c>
    </row>
    <row r="1070" spans="1:2" x14ac:dyDescent="0.3">
      <c r="A1070">
        <v>32.700000000000003</v>
      </c>
      <c r="B1070">
        <v>-43.84</v>
      </c>
    </row>
    <row r="1071" spans="1:2" x14ac:dyDescent="0.3">
      <c r="A1071">
        <v>32.700000000000003</v>
      </c>
      <c r="B1071">
        <v>-42.97</v>
      </c>
    </row>
    <row r="1072" spans="1:2" x14ac:dyDescent="0.3">
      <c r="A1072">
        <v>32.75</v>
      </c>
      <c r="B1072">
        <v>-42.97</v>
      </c>
    </row>
    <row r="1073" spans="1:2" x14ac:dyDescent="0.3">
      <c r="A1073">
        <v>32.75</v>
      </c>
      <c r="B1073">
        <v>-43.48</v>
      </c>
    </row>
    <row r="1074" spans="1:2" x14ac:dyDescent="0.3">
      <c r="A1074">
        <v>32.799999999999997</v>
      </c>
      <c r="B1074">
        <v>-43.48</v>
      </c>
    </row>
    <row r="1075" spans="1:2" x14ac:dyDescent="0.3">
      <c r="A1075">
        <v>32.799999999999997</v>
      </c>
      <c r="B1075">
        <v>-43.68</v>
      </c>
    </row>
    <row r="1076" spans="1:2" x14ac:dyDescent="0.3">
      <c r="A1076">
        <v>32.85</v>
      </c>
      <c r="B1076">
        <v>-43.68</v>
      </c>
    </row>
    <row r="1077" spans="1:2" x14ac:dyDescent="0.3">
      <c r="A1077">
        <v>32.85</v>
      </c>
      <c r="B1077">
        <v>-43.81</v>
      </c>
    </row>
    <row r="1078" spans="1:2" x14ac:dyDescent="0.3">
      <c r="A1078">
        <v>32.9</v>
      </c>
      <c r="B1078">
        <v>-43.81</v>
      </c>
    </row>
    <row r="1079" spans="1:2" x14ac:dyDescent="0.3">
      <c r="A1079">
        <v>32.9</v>
      </c>
      <c r="B1079">
        <v>-43.26</v>
      </c>
    </row>
    <row r="1080" spans="1:2" x14ac:dyDescent="0.3">
      <c r="A1080">
        <v>32.950000000000003</v>
      </c>
      <c r="B1080">
        <v>-43.26</v>
      </c>
    </row>
    <row r="1081" spans="1:2" x14ac:dyDescent="0.3">
      <c r="A1081">
        <v>32.950000000000003</v>
      </c>
      <c r="B1081">
        <v>-43.21</v>
      </c>
    </row>
    <row r="1082" spans="1:2" x14ac:dyDescent="0.3">
      <c r="A1082">
        <v>33</v>
      </c>
      <c r="B1082">
        <v>-43.21</v>
      </c>
    </row>
    <row r="1083" spans="1:2" x14ac:dyDescent="0.3">
      <c r="A1083">
        <v>33</v>
      </c>
      <c r="B1083">
        <v>-43.56</v>
      </c>
    </row>
    <row r="1084" spans="1:2" x14ac:dyDescent="0.3">
      <c r="A1084">
        <v>33.049999999999997</v>
      </c>
      <c r="B1084">
        <v>-43.56</v>
      </c>
    </row>
    <row r="1085" spans="1:2" x14ac:dyDescent="0.3">
      <c r="A1085">
        <v>33.049999999999997</v>
      </c>
      <c r="B1085">
        <v>-44.19</v>
      </c>
    </row>
    <row r="1086" spans="1:2" x14ac:dyDescent="0.3">
      <c r="A1086">
        <v>33.1</v>
      </c>
      <c r="B1086">
        <v>-44.19</v>
      </c>
    </row>
    <row r="1087" spans="1:2" x14ac:dyDescent="0.3">
      <c r="A1087">
        <v>33.1</v>
      </c>
      <c r="B1087">
        <v>-43.14</v>
      </c>
    </row>
    <row r="1088" spans="1:2" x14ac:dyDescent="0.3">
      <c r="A1088">
        <v>33.15</v>
      </c>
      <c r="B1088">
        <v>-43.14</v>
      </c>
    </row>
    <row r="1089" spans="1:2" x14ac:dyDescent="0.3">
      <c r="A1089">
        <v>33.15</v>
      </c>
      <c r="B1089">
        <v>-41.1</v>
      </c>
    </row>
    <row r="1090" spans="1:2" x14ac:dyDescent="0.3">
      <c r="A1090">
        <v>33.200000000000003</v>
      </c>
      <c r="B1090">
        <v>-41.1</v>
      </c>
    </row>
    <row r="1091" spans="1:2" x14ac:dyDescent="0.3">
      <c r="A1091">
        <v>33.200000000000003</v>
      </c>
      <c r="B1091">
        <v>-40.380000000000003</v>
      </c>
    </row>
    <row r="1092" spans="1:2" x14ac:dyDescent="0.3">
      <c r="A1092">
        <v>33.25</v>
      </c>
      <c r="B1092">
        <v>-40.380000000000003</v>
      </c>
    </row>
    <row r="1093" spans="1:2" x14ac:dyDescent="0.3">
      <c r="A1093">
        <v>33.25</v>
      </c>
      <c r="B1093">
        <v>-39.92</v>
      </c>
    </row>
    <row r="1094" spans="1:2" x14ac:dyDescent="0.3">
      <c r="A1094">
        <v>33.299999999999997</v>
      </c>
      <c r="B1094">
        <v>-39.92</v>
      </c>
    </row>
    <row r="1095" spans="1:2" x14ac:dyDescent="0.3">
      <c r="A1095">
        <v>33.299999999999997</v>
      </c>
      <c r="B1095">
        <v>-39.659999999999997</v>
      </c>
    </row>
    <row r="1096" spans="1:2" x14ac:dyDescent="0.3">
      <c r="A1096">
        <v>33.35</v>
      </c>
      <c r="B1096">
        <v>-39.659999999999997</v>
      </c>
    </row>
    <row r="1097" spans="1:2" x14ac:dyDescent="0.3">
      <c r="A1097">
        <v>33.35</v>
      </c>
      <c r="B1097">
        <v>-39.82</v>
      </c>
    </row>
    <row r="1098" spans="1:2" x14ac:dyDescent="0.3">
      <c r="A1098">
        <v>33.4</v>
      </c>
      <c r="B1098">
        <v>-39.82</v>
      </c>
    </row>
    <row r="1099" spans="1:2" x14ac:dyDescent="0.3">
      <c r="A1099">
        <v>33.4</v>
      </c>
      <c r="B1099">
        <v>-39.78</v>
      </c>
    </row>
    <row r="1100" spans="1:2" x14ac:dyDescent="0.3">
      <c r="A1100">
        <v>33.450000000000003</v>
      </c>
      <c r="B1100">
        <v>-39.78</v>
      </c>
    </row>
    <row r="1101" spans="1:2" x14ac:dyDescent="0.3">
      <c r="A1101">
        <v>33.450000000000003</v>
      </c>
      <c r="B1101">
        <v>-39.03</v>
      </c>
    </row>
    <row r="1102" spans="1:2" x14ac:dyDescent="0.3">
      <c r="A1102">
        <v>33.5</v>
      </c>
      <c r="B1102">
        <v>-39.03</v>
      </c>
    </row>
    <row r="1103" spans="1:2" x14ac:dyDescent="0.3">
      <c r="A1103">
        <v>33.5</v>
      </c>
      <c r="B1103">
        <v>-41.04</v>
      </c>
    </row>
    <row r="1104" spans="1:2" x14ac:dyDescent="0.3">
      <c r="A1104">
        <v>33.549999999999997</v>
      </c>
      <c r="B1104">
        <v>-41.04</v>
      </c>
    </row>
    <row r="1105" spans="1:2" x14ac:dyDescent="0.3">
      <c r="A1105">
        <v>33.549999999999997</v>
      </c>
      <c r="B1105">
        <v>-41.91</v>
      </c>
    </row>
    <row r="1106" spans="1:2" x14ac:dyDescent="0.3">
      <c r="A1106">
        <v>33.6</v>
      </c>
      <c r="B1106">
        <v>-41.91</v>
      </c>
    </row>
    <row r="1107" spans="1:2" x14ac:dyDescent="0.3">
      <c r="A1107">
        <v>33.6</v>
      </c>
      <c r="B1107">
        <v>-42.7</v>
      </c>
    </row>
    <row r="1108" spans="1:2" x14ac:dyDescent="0.3">
      <c r="A1108">
        <v>33.65</v>
      </c>
      <c r="B1108">
        <v>-42.7</v>
      </c>
    </row>
    <row r="1109" spans="1:2" x14ac:dyDescent="0.3">
      <c r="A1109">
        <v>33.65</v>
      </c>
      <c r="B1109">
        <v>-42.73</v>
      </c>
    </row>
    <row r="1110" spans="1:2" x14ac:dyDescent="0.3">
      <c r="A1110">
        <v>33.700000000000003</v>
      </c>
      <c r="B1110">
        <v>-42.73</v>
      </c>
    </row>
    <row r="1111" spans="1:2" x14ac:dyDescent="0.3">
      <c r="A1111">
        <v>33.700000000000003</v>
      </c>
      <c r="B1111">
        <v>-43.26</v>
      </c>
    </row>
    <row r="1112" spans="1:2" x14ac:dyDescent="0.3">
      <c r="A1112">
        <v>33.75</v>
      </c>
      <c r="B1112">
        <v>-43.26</v>
      </c>
    </row>
    <row r="1113" spans="1:2" x14ac:dyDescent="0.3">
      <c r="A1113">
        <v>33.75</v>
      </c>
      <c r="B1113">
        <v>-43.32</v>
      </c>
    </row>
    <row r="1114" spans="1:2" x14ac:dyDescent="0.3">
      <c r="A1114">
        <v>33.799999999999997</v>
      </c>
      <c r="B1114">
        <v>-43.32</v>
      </c>
    </row>
    <row r="1115" spans="1:2" x14ac:dyDescent="0.3">
      <c r="A1115">
        <v>33.799999999999997</v>
      </c>
      <c r="B1115">
        <v>-42.49</v>
      </c>
    </row>
    <row r="1116" spans="1:2" x14ac:dyDescent="0.3">
      <c r="A1116">
        <v>33.85</v>
      </c>
      <c r="B1116">
        <v>-42.49</v>
      </c>
    </row>
    <row r="1117" spans="1:2" x14ac:dyDescent="0.3">
      <c r="A1117">
        <v>33.85</v>
      </c>
      <c r="B1117">
        <v>-42.92</v>
      </c>
    </row>
    <row r="1118" spans="1:2" x14ac:dyDescent="0.3">
      <c r="A1118">
        <v>33.9</v>
      </c>
      <c r="B1118">
        <v>-42.92</v>
      </c>
    </row>
    <row r="1119" spans="1:2" x14ac:dyDescent="0.3">
      <c r="A1119">
        <v>33.9</v>
      </c>
      <c r="B1119">
        <v>-42.72</v>
      </c>
    </row>
    <row r="1120" spans="1:2" x14ac:dyDescent="0.3">
      <c r="A1120">
        <v>33.950000000000003</v>
      </c>
      <c r="B1120">
        <v>-42.72</v>
      </c>
    </row>
    <row r="1121" spans="1:2" x14ac:dyDescent="0.3">
      <c r="A1121">
        <v>33.950000000000003</v>
      </c>
      <c r="B1121">
        <v>-42.85</v>
      </c>
    </row>
    <row r="1122" spans="1:2" x14ac:dyDescent="0.3">
      <c r="A1122">
        <v>34</v>
      </c>
      <c r="B1122">
        <v>-42.85</v>
      </c>
    </row>
    <row r="1123" spans="1:2" x14ac:dyDescent="0.3">
      <c r="A1123">
        <v>34</v>
      </c>
      <c r="B1123">
        <v>-42.59</v>
      </c>
    </row>
    <row r="1124" spans="1:2" x14ac:dyDescent="0.3">
      <c r="A1124">
        <v>34.049999999999997</v>
      </c>
      <c r="B1124">
        <v>-42.59</v>
      </c>
    </row>
    <row r="1125" spans="1:2" x14ac:dyDescent="0.3">
      <c r="A1125">
        <v>34.049999999999997</v>
      </c>
      <c r="B1125">
        <v>-43.38</v>
      </c>
    </row>
    <row r="1126" spans="1:2" x14ac:dyDescent="0.3">
      <c r="A1126">
        <v>34.1</v>
      </c>
      <c r="B1126">
        <v>-43.38</v>
      </c>
    </row>
    <row r="1127" spans="1:2" x14ac:dyDescent="0.3">
      <c r="A1127">
        <v>34.1</v>
      </c>
      <c r="B1127">
        <v>-43.09</v>
      </c>
    </row>
    <row r="1128" spans="1:2" x14ac:dyDescent="0.3">
      <c r="A1128">
        <v>34.15</v>
      </c>
      <c r="B1128">
        <v>-43.09</v>
      </c>
    </row>
    <row r="1129" spans="1:2" x14ac:dyDescent="0.3">
      <c r="A1129">
        <v>34.15</v>
      </c>
      <c r="B1129">
        <v>-42.81</v>
      </c>
    </row>
    <row r="1130" spans="1:2" x14ac:dyDescent="0.3">
      <c r="A1130">
        <v>34.200000000000003</v>
      </c>
      <c r="B1130">
        <v>-42.81</v>
      </c>
    </row>
    <row r="1131" spans="1:2" x14ac:dyDescent="0.3">
      <c r="A1131">
        <v>34.200000000000003</v>
      </c>
      <c r="B1131">
        <v>-42.61</v>
      </c>
    </row>
    <row r="1132" spans="1:2" x14ac:dyDescent="0.3">
      <c r="A1132">
        <v>34.25</v>
      </c>
      <c r="B1132">
        <v>-42.61</v>
      </c>
    </row>
    <row r="1133" spans="1:2" x14ac:dyDescent="0.3">
      <c r="A1133">
        <v>34.25</v>
      </c>
      <c r="B1133">
        <v>-42.97</v>
      </c>
    </row>
    <row r="1134" spans="1:2" x14ac:dyDescent="0.3">
      <c r="A1134">
        <v>34.299999999999997</v>
      </c>
      <c r="B1134">
        <v>-42.97</v>
      </c>
    </row>
    <row r="1135" spans="1:2" x14ac:dyDescent="0.3">
      <c r="A1135">
        <v>34.299999999999997</v>
      </c>
      <c r="B1135">
        <v>-43.38</v>
      </c>
    </row>
    <row r="1136" spans="1:2" x14ac:dyDescent="0.3">
      <c r="A1136">
        <v>34.35</v>
      </c>
      <c r="B1136">
        <v>-43.38</v>
      </c>
    </row>
    <row r="1137" spans="1:2" x14ac:dyDescent="0.3">
      <c r="A1137">
        <v>34.35</v>
      </c>
      <c r="B1137">
        <v>-42.98</v>
      </c>
    </row>
    <row r="1138" spans="1:2" x14ac:dyDescent="0.3">
      <c r="A1138">
        <v>34.4</v>
      </c>
      <c r="B1138">
        <v>-42.98</v>
      </c>
    </row>
    <row r="1139" spans="1:2" x14ac:dyDescent="0.3">
      <c r="A1139">
        <v>34.4</v>
      </c>
      <c r="B1139">
        <v>-41.93</v>
      </c>
    </row>
    <row r="1140" spans="1:2" x14ac:dyDescent="0.3">
      <c r="A1140">
        <v>34.450000000000003</v>
      </c>
      <c r="B1140">
        <v>-41.93</v>
      </c>
    </row>
    <row r="1141" spans="1:2" x14ac:dyDescent="0.3">
      <c r="A1141">
        <v>34.450000000000003</v>
      </c>
      <c r="B1141">
        <v>-42.2</v>
      </c>
    </row>
    <row r="1142" spans="1:2" x14ac:dyDescent="0.3">
      <c r="A1142">
        <v>34.5</v>
      </c>
      <c r="B1142">
        <v>-42.2</v>
      </c>
    </row>
    <row r="1143" spans="1:2" x14ac:dyDescent="0.3">
      <c r="A1143">
        <v>34.5</v>
      </c>
      <c r="B1143">
        <v>-40.049999999999997</v>
      </c>
    </row>
    <row r="1144" spans="1:2" x14ac:dyDescent="0.3">
      <c r="A1144">
        <v>34.549999999999997</v>
      </c>
      <c r="B1144">
        <v>-40.049999999999997</v>
      </c>
    </row>
    <row r="1145" spans="1:2" x14ac:dyDescent="0.3">
      <c r="A1145">
        <v>34.549999999999997</v>
      </c>
      <c r="B1145">
        <v>-40.5</v>
      </c>
    </row>
    <row r="1146" spans="1:2" x14ac:dyDescent="0.3">
      <c r="A1146">
        <v>34.6</v>
      </c>
      <c r="B1146">
        <v>-40.5</v>
      </c>
    </row>
    <row r="1147" spans="1:2" x14ac:dyDescent="0.3">
      <c r="A1147">
        <v>34.6</v>
      </c>
      <c r="B1147">
        <v>-40.4</v>
      </c>
    </row>
    <row r="1148" spans="1:2" x14ac:dyDescent="0.3">
      <c r="A1148">
        <v>34.65</v>
      </c>
      <c r="B1148">
        <v>-40.4</v>
      </c>
    </row>
    <row r="1149" spans="1:2" x14ac:dyDescent="0.3">
      <c r="A1149">
        <v>34.65</v>
      </c>
      <c r="B1149">
        <v>-40.770000000000003</v>
      </c>
    </row>
    <row r="1150" spans="1:2" x14ac:dyDescent="0.3">
      <c r="A1150">
        <v>34.700000000000003</v>
      </c>
      <c r="B1150">
        <v>-40.770000000000003</v>
      </c>
    </row>
    <row r="1151" spans="1:2" x14ac:dyDescent="0.3">
      <c r="A1151">
        <v>34.700000000000003</v>
      </c>
      <c r="B1151">
        <v>-41.17</v>
      </c>
    </row>
    <row r="1152" spans="1:2" x14ac:dyDescent="0.3">
      <c r="A1152">
        <v>34.75</v>
      </c>
      <c r="B1152">
        <v>-41.17</v>
      </c>
    </row>
    <row r="1153" spans="1:2" x14ac:dyDescent="0.3">
      <c r="A1153">
        <v>34.75</v>
      </c>
      <c r="B1153">
        <v>-40.99</v>
      </c>
    </row>
    <row r="1154" spans="1:2" x14ac:dyDescent="0.3">
      <c r="A1154">
        <v>34.799999999999997</v>
      </c>
      <c r="B1154">
        <v>-40.99</v>
      </c>
    </row>
    <row r="1155" spans="1:2" x14ac:dyDescent="0.3">
      <c r="A1155">
        <v>34.799999999999997</v>
      </c>
      <c r="B1155">
        <v>-40.299999999999997</v>
      </c>
    </row>
    <row r="1156" spans="1:2" x14ac:dyDescent="0.3">
      <c r="A1156">
        <v>34.85</v>
      </c>
      <c r="B1156">
        <v>-40.299999999999997</v>
      </c>
    </row>
    <row r="1157" spans="1:2" x14ac:dyDescent="0.3">
      <c r="A1157">
        <v>34.85</v>
      </c>
      <c r="B1157">
        <v>-39.35</v>
      </c>
    </row>
    <row r="1158" spans="1:2" x14ac:dyDescent="0.3">
      <c r="A1158">
        <v>34.9</v>
      </c>
      <c r="B1158">
        <v>-39.35</v>
      </c>
    </row>
    <row r="1159" spans="1:2" x14ac:dyDescent="0.3">
      <c r="A1159">
        <v>34.9</v>
      </c>
      <c r="B1159">
        <v>-40.17</v>
      </c>
    </row>
    <row r="1160" spans="1:2" x14ac:dyDescent="0.3">
      <c r="A1160">
        <v>34.950000000000003</v>
      </c>
      <c r="B1160">
        <v>-40.17</v>
      </c>
    </row>
    <row r="1161" spans="1:2" x14ac:dyDescent="0.3">
      <c r="A1161">
        <v>34.950000000000003</v>
      </c>
      <c r="B1161">
        <v>-39.67</v>
      </c>
    </row>
    <row r="1162" spans="1:2" x14ac:dyDescent="0.3">
      <c r="A1162">
        <v>35</v>
      </c>
      <c r="B1162">
        <v>-39.67</v>
      </c>
    </row>
    <row r="1163" spans="1:2" x14ac:dyDescent="0.3">
      <c r="A1163">
        <v>35</v>
      </c>
      <c r="B1163">
        <v>-39.799999999999997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BF67-FF8E-4102-91DE-D821238D6504}">
  <dimension ref="A1:D45"/>
  <sheetViews>
    <sheetView workbookViewId="0">
      <selection sqref="A1:D1048576"/>
    </sheetView>
  </sheetViews>
  <sheetFormatPr baseColWidth="10" defaultRowHeight="14.4" x14ac:dyDescent="0.3"/>
  <sheetData>
    <row r="1" spans="1:4" x14ac:dyDescent="0.3">
      <c r="A1" t="s">
        <v>99</v>
      </c>
      <c r="B1" t="s">
        <v>102</v>
      </c>
      <c r="C1" t="s">
        <v>100</v>
      </c>
      <c r="D1" t="s">
        <v>101</v>
      </c>
    </row>
    <row r="2" spans="1:4" x14ac:dyDescent="0.3">
      <c r="A2">
        <v>225</v>
      </c>
      <c r="B2">
        <v>24774</v>
      </c>
      <c r="C2">
        <v>23967</v>
      </c>
      <c r="D2">
        <v>25458</v>
      </c>
    </row>
    <row r="3" spans="1:4" x14ac:dyDescent="0.3">
      <c r="A3">
        <v>224</v>
      </c>
      <c r="B3">
        <v>24185</v>
      </c>
      <c r="C3">
        <v>23204</v>
      </c>
      <c r="D3">
        <v>25085</v>
      </c>
    </row>
    <row r="4" spans="1:4" x14ac:dyDescent="0.3">
      <c r="A4">
        <v>223</v>
      </c>
      <c r="B4">
        <v>23595</v>
      </c>
      <c r="C4">
        <v>22207</v>
      </c>
      <c r="D4">
        <v>24951</v>
      </c>
    </row>
    <row r="5" spans="1:4" x14ac:dyDescent="0.3">
      <c r="A5">
        <v>222</v>
      </c>
      <c r="B5">
        <v>23006</v>
      </c>
      <c r="C5">
        <v>21058</v>
      </c>
      <c r="D5">
        <v>24852</v>
      </c>
    </row>
    <row r="6" spans="1:4" x14ac:dyDescent="0.3">
      <c r="A6">
        <v>221</v>
      </c>
      <c r="B6">
        <v>22433</v>
      </c>
      <c r="C6">
        <v>20958</v>
      </c>
      <c r="D6">
        <v>23818</v>
      </c>
    </row>
    <row r="7" spans="1:4" x14ac:dyDescent="0.3">
      <c r="A7">
        <v>220</v>
      </c>
      <c r="B7">
        <v>21860</v>
      </c>
      <c r="C7">
        <v>20862</v>
      </c>
      <c r="D7">
        <v>22797</v>
      </c>
    </row>
    <row r="8" spans="1:4" x14ac:dyDescent="0.3">
      <c r="A8">
        <v>219</v>
      </c>
      <c r="B8">
        <v>21288</v>
      </c>
      <c r="C8">
        <v>20698</v>
      </c>
      <c r="D8">
        <v>21806</v>
      </c>
    </row>
    <row r="9" spans="1:4" x14ac:dyDescent="0.3">
      <c r="A9">
        <v>218</v>
      </c>
      <c r="B9">
        <v>20715</v>
      </c>
      <c r="C9">
        <v>20223</v>
      </c>
      <c r="D9">
        <v>21000</v>
      </c>
    </row>
    <row r="10" spans="1:4" x14ac:dyDescent="0.3">
      <c r="A10">
        <v>217</v>
      </c>
      <c r="B10">
        <v>20142</v>
      </c>
      <c r="C10">
        <v>19388</v>
      </c>
      <c r="D10">
        <v>20769</v>
      </c>
    </row>
    <row r="11" spans="1:4" x14ac:dyDescent="0.3">
      <c r="A11">
        <v>216</v>
      </c>
      <c r="B11">
        <v>19443</v>
      </c>
      <c r="C11">
        <v>18491</v>
      </c>
      <c r="D11">
        <v>20300</v>
      </c>
    </row>
    <row r="12" spans="1:4" x14ac:dyDescent="0.3">
      <c r="A12">
        <v>215</v>
      </c>
      <c r="B12">
        <v>18744</v>
      </c>
      <c r="C12">
        <v>17409</v>
      </c>
      <c r="D12">
        <v>20095</v>
      </c>
    </row>
    <row r="13" spans="1:4" x14ac:dyDescent="0.3">
      <c r="A13">
        <v>214</v>
      </c>
      <c r="B13">
        <v>18045</v>
      </c>
      <c r="C13">
        <v>16193</v>
      </c>
      <c r="D13">
        <v>19966</v>
      </c>
    </row>
    <row r="14" spans="1:4" x14ac:dyDescent="0.3">
      <c r="A14">
        <v>213</v>
      </c>
      <c r="B14">
        <v>17346</v>
      </c>
      <c r="C14">
        <v>14956</v>
      </c>
      <c r="D14">
        <v>19840</v>
      </c>
    </row>
    <row r="15" spans="1:4" x14ac:dyDescent="0.3">
      <c r="A15">
        <v>212</v>
      </c>
      <c r="B15">
        <v>16647</v>
      </c>
      <c r="C15">
        <v>13748</v>
      </c>
      <c r="D15">
        <v>19730</v>
      </c>
    </row>
    <row r="16" spans="1:4" x14ac:dyDescent="0.3">
      <c r="A16">
        <v>211</v>
      </c>
      <c r="B16">
        <v>16016</v>
      </c>
      <c r="C16">
        <v>13653</v>
      </c>
      <c r="D16">
        <v>18490</v>
      </c>
    </row>
    <row r="17" spans="1:4" x14ac:dyDescent="0.3">
      <c r="A17">
        <v>210</v>
      </c>
      <c r="B17">
        <v>15386</v>
      </c>
      <c r="C17">
        <v>13558</v>
      </c>
      <c r="D17">
        <v>17281</v>
      </c>
    </row>
    <row r="18" spans="1:4" x14ac:dyDescent="0.3">
      <c r="A18">
        <v>209</v>
      </c>
      <c r="B18">
        <v>14755</v>
      </c>
      <c r="C18">
        <v>13439</v>
      </c>
      <c r="D18">
        <v>16114</v>
      </c>
    </row>
    <row r="19" spans="1:4" x14ac:dyDescent="0.3">
      <c r="A19">
        <v>208</v>
      </c>
      <c r="B19">
        <v>14125</v>
      </c>
      <c r="C19">
        <v>13272</v>
      </c>
      <c r="D19">
        <v>15029</v>
      </c>
    </row>
    <row r="20" spans="1:4" x14ac:dyDescent="0.3">
      <c r="A20">
        <v>207</v>
      </c>
      <c r="B20">
        <v>13494</v>
      </c>
      <c r="C20">
        <v>12830</v>
      </c>
      <c r="D20">
        <v>14172</v>
      </c>
    </row>
    <row r="21" spans="1:4" x14ac:dyDescent="0.3">
      <c r="A21">
        <v>206</v>
      </c>
      <c r="B21">
        <v>13251</v>
      </c>
      <c r="C21">
        <v>12724</v>
      </c>
      <c r="D21">
        <v>13710</v>
      </c>
    </row>
    <row r="22" spans="1:4" x14ac:dyDescent="0.3">
      <c r="A22">
        <v>205</v>
      </c>
      <c r="B22">
        <v>13008</v>
      </c>
      <c r="C22">
        <v>12565</v>
      </c>
      <c r="D22">
        <v>13368</v>
      </c>
    </row>
    <row r="23" spans="1:4" x14ac:dyDescent="0.3">
      <c r="A23">
        <v>204</v>
      </c>
      <c r="B23">
        <v>12764</v>
      </c>
      <c r="C23">
        <v>12328</v>
      </c>
      <c r="D23">
        <v>13180</v>
      </c>
    </row>
    <row r="24" spans="1:4" x14ac:dyDescent="0.3">
      <c r="A24">
        <v>203</v>
      </c>
      <c r="B24">
        <v>12521</v>
      </c>
      <c r="C24">
        <v>11969</v>
      </c>
      <c r="D24">
        <v>13097</v>
      </c>
    </row>
    <row r="25" spans="1:4" x14ac:dyDescent="0.3">
      <c r="A25">
        <v>202</v>
      </c>
      <c r="B25">
        <v>12278</v>
      </c>
      <c r="C25">
        <v>11520</v>
      </c>
      <c r="D25">
        <v>13034</v>
      </c>
    </row>
    <row r="26" spans="1:4" x14ac:dyDescent="0.3">
      <c r="A26">
        <v>201</v>
      </c>
      <c r="B26">
        <v>12116</v>
      </c>
      <c r="C26">
        <v>11480</v>
      </c>
      <c r="D26">
        <v>12727</v>
      </c>
    </row>
    <row r="27" spans="1:4" x14ac:dyDescent="0.3">
      <c r="A27">
        <v>200</v>
      </c>
      <c r="B27">
        <v>11954</v>
      </c>
      <c r="C27">
        <v>11425</v>
      </c>
      <c r="D27">
        <v>12455</v>
      </c>
    </row>
    <row r="28" spans="1:4" x14ac:dyDescent="0.3">
      <c r="A28">
        <v>199</v>
      </c>
      <c r="B28">
        <v>11792</v>
      </c>
      <c r="C28">
        <v>11364</v>
      </c>
      <c r="D28">
        <v>12231</v>
      </c>
    </row>
    <row r="29" spans="1:4" x14ac:dyDescent="0.3">
      <c r="A29">
        <v>198</v>
      </c>
      <c r="B29">
        <v>11630</v>
      </c>
      <c r="C29">
        <v>11262</v>
      </c>
      <c r="D29">
        <v>12071</v>
      </c>
    </row>
    <row r="30" spans="1:4" x14ac:dyDescent="0.3">
      <c r="A30">
        <v>197</v>
      </c>
      <c r="B30">
        <v>11468</v>
      </c>
      <c r="C30">
        <v>11083</v>
      </c>
      <c r="D30">
        <v>11963</v>
      </c>
    </row>
    <row r="31" spans="1:4" x14ac:dyDescent="0.3">
      <c r="A31">
        <v>196</v>
      </c>
      <c r="B31">
        <v>11400</v>
      </c>
      <c r="C31">
        <v>11045</v>
      </c>
      <c r="D31">
        <v>11840</v>
      </c>
    </row>
    <row r="32" spans="1:4" x14ac:dyDescent="0.3">
      <c r="A32">
        <v>195</v>
      </c>
      <c r="B32">
        <v>11332</v>
      </c>
      <c r="C32">
        <v>10987</v>
      </c>
      <c r="D32">
        <v>11740</v>
      </c>
    </row>
    <row r="33" spans="1:4" x14ac:dyDescent="0.3">
      <c r="A33">
        <v>194</v>
      </c>
      <c r="B33">
        <v>11264</v>
      </c>
      <c r="C33">
        <v>10923</v>
      </c>
      <c r="D33">
        <v>11683</v>
      </c>
    </row>
    <row r="34" spans="1:4" x14ac:dyDescent="0.3">
      <c r="A34">
        <v>193</v>
      </c>
      <c r="B34">
        <v>11196</v>
      </c>
      <c r="C34">
        <v>10825</v>
      </c>
      <c r="D34">
        <v>11632</v>
      </c>
    </row>
    <row r="35" spans="1:4" x14ac:dyDescent="0.3">
      <c r="A35">
        <v>192</v>
      </c>
      <c r="B35">
        <v>11127</v>
      </c>
      <c r="C35">
        <v>10697</v>
      </c>
      <c r="D35">
        <v>11600</v>
      </c>
    </row>
    <row r="36" spans="1:4" x14ac:dyDescent="0.3">
      <c r="A36">
        <v>191</v>
      </c>
      <c r="B36">
        <v>11068</v>
      </c>
      <c r="C36">
        <v>10671</v>
      </c>
      <c r="D36">
        <v>11512</v>
      </c>
    </row>
    <row r="37" spans="1:4" x14ac:dyDescent="0.3">
      <c r="A37">
        <v>190</v>
      </c>
      <c r="B37">
        <v>11008</v>
      </c>
      <c r="C37">
        <v>10645</v>
      </c>
      <c r="D37">
        <v>11444</v>
      </c>
    </row>
    <row r="38" spans="1:4" x14ac:dyDescent="0.3">
      <c r="A38">
        <v>189</v>
      </c>
      <c r="B38">
        <v>10948</v>
      </c>
      <c r="C38">
        <v>10609</v>
      </c>
      <c r="D38">
        <v>11393</v>
      </c>
    </row>
    <row r="39" spans="1:4" x14ac:dyDescent="0.3">
      <c r="A39">
        <v>188</v>
      </c>
      <c r="B39">
        <v>10889</v>
      </c>
      <c r="C39">
        <v>10564</v>
      </c>
      <c r="D39">
        <v>11352</v>
      </c>
    </row>
    <row r="40" spans="1:4" x14ac:dyDescent="0.3">
      <c r="A40">
        <v>187</v>
      </c>
      <c r="B40">
        <v>10829</v>
      </c>
      <c r="C40">
        <v>10491</v>
      </c>
      <c r="D40">
        <v>11323</v>
      </c>
    </row>
    <row r="41" spans="1:4" x14ac:dyDescent="0.3">
      <c r="A41">
        <v>186</v>
      </c>
      <c r="B41">
        <v>10766</v>
      </c>
      <c r="C41">
        <v>10474</v>
      </c>
      <c r="D41">
        <v>11169</v>
      </c>
    </row>
    <row r="42" spans="1:4" x14ac:dyDescent="0.3">
      <c r="A42">
        <v>185</v>
      </c>
      <c r="B42">
        <v>10702</v>
      </c>
      <c r="C42">
        <v>10454</v>
      </c>
      <c r="D42">
        <v>11016</v>
      </c>
    </row>
    <row r="43" spans="1:4" x14ac:dyDescent="0.3">
      <c r="A43">
        <v>184</v>
      </c>
      <c r="B43">
        <v>10639</v>
      </c>
      <c r="C43">
        <v>10429</v>
      </c>
      <c r="D43">
        <v>10863</v>
      </c>
    </row>
    <row r="44" spans="1:4" x14ac:dyDescent="0.3">
      <c r="A44">
        <v>183</v>
      </c>
      <c r="B44">
        <v>10576</v>
      </c>
      <c r="C44">
        <v>10400</v>
      </c>
      <c r="D44">
        <v>10735</v>
      </c>
    </row>
    <row r="45" spans="1:4" x14ac:dyDescent="0.3">
      <c r="A45">
        <v>182</v>
      </c>
      <c r="B45">
        <v>10513</v>
      </c>
      <c r="C45">
        <v>10346</v>
      </c>
      <c r="D45">
        <v>10651</v>
      </c>
    </row>
  </sheetData>
  <autoFilter ref="A1:D45" xr:uid="{1C78BF67-FF8E-4102-91DE-D821238D6504}">
    <sortState xmlns:xlrd2="http://schemas.microsoft.com/office/spreadsheetml/2017/richdata2" ref="A2:D45">
      <sortCondition descending="1" ref="A1:A4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374E-6C1C-49D9-AD7E-328F5C401491}">
  <dimension ref="A1:N28"/>
  <sheetViews>
    <sheetView workbookViewId="0">
      <selection activeCellId="1" sqref="D1:D1048576 A1:A1048576"/>
    </sheetView>
  </sheetViews>
  <sheetFormatPr baseColWidth="10" defaultRowHeight="14.4" x14ac:dyDescent="0.3"/>
  <sheetData>
    <row r="1" spans="1:14" x14ac:dyDescent="0.3">
      <c r="A1" s="11" t="s">
        <v>2</v>
      </c>
      <c r="B1" s="12" t="s">
        <v>78</v>
      </c>
      <c r="C1" s="12" t="s">
        <v>79</v>
      </c>
      <c r="D1" s="12" t="s">
        <v>80</v>
      </c>
      <c r="E1" s="12" t="s">
        <v>81</v>
      </c>
      <c r="F1" s="12" t="s">
        <v>82</v>
      </c>
      <c r="G1" s="12" t="s">
        <v>83</v>
      </c>
      <c r="H1" s="12" t="s">
        <v>84</v>
      </c>
      <c r="I1" s="12" t="s">
        <v>85</v>
      </c>
      <c r="J1" s="12" t="s">
        <v>86</v>
      </c>
      <c r="K1" s="12" t="s">
        <v>87</v>
      </c>
      <c r="L1" s="12" t="s">
        <v>88</v>
      </c>
      <c r="M1" s="12" t="s">
        <v>89</v>
      </c>
      <c r="N1" s="12" t="s">
        <v>90</v>
      </c>
    </row>
    <row r="2" spans="1:14" x14ac:dyDescent="0.3">
      <c r="A2" s="11">
        <v>225</v>
      </c>
      <c r="B2" s="11">
        <v>-32.706911862573108</v>
      </c>
      <c r="C2" s="11">
        <v>-42.067204447389344</v>
      </c>
      <c r="D2" s="11">
        <v>-31.26013397320628</v>
      </c>
      <c r="E2" s="11">
        <v>-30.704770209768814</v>
      </c>
      <c r="F2" s="11">
        <v>-31.207487041152262</v>
      </c>
      <c r="G2" s="11">
        <v>-30.454184180180086</v>
      </c>
      <c r="H2" s="11">
        <v>-31.077016631381291</v>
      </c>
      <c r="I2" s="11">
        <v>-30.534491627779985</v>
      </c>
      <c r="J2" s="11">
        <v>-32.019327287663913</v>
      </c>
      <c r="K2" s="11">
        <v>-31.604565312929157</v>
      </c>
      <c r="L2" s="11">
        <v>-33.21556357910471</v>
      </c>
      <c r="M2" s="11">
        <v>-32.497071466565941</v>
      </c>
      <c r="N2" s="11">
        <v>-34.390846212321101</v>
      </c>
    </row>
    <row r="3" spans="1:14" x14ac:dyDescent="0.3">
      <c r="A3" s="11">
        <v>224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3">
      <c r="A4" s="11">
        <v>223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">
      <c r="A5" s="11">
        <v>221</v>
      </c>
      <c r="B5" s="11">
        <v>-33.431397267846108</v>
      </c>
      <c r="C5" s="11">
        <v>-46.811000989117993</v>
      </c>
      <c r="D5" s="11">
        <v>-31.388693674095929</v>
      </c>
      <c r="E5" s="11">
        <v>-30.058523820439689</v>
      </c>
      <c r="F5" s="11">
        <v>-31.248658257509422</v>
      </c>
      <c r="G5" s="11">
        <v>-31.539698583065757</v>
      </c>
      <c r="H5" s="11">
        <v>-31.871337630749004</v>
      </c>
      <c r="I5" s="11" t="s">
        <v>77</v>
      </c>
      <c r="J5" s="11">
        <v>-32.329409465784259</v>
      </c>
      <c r="K5" s="11"/>
      <c r="L5" s="11">
        <v>-33.971292892031272</v>
      </c>
      <c r="M5" s="11"/>
      <c r="N5" s="11">
        <v>-34.390425893891972</v>
      </c>
    </row>
    <row r="6" spans="1:14" x14ac:dyDescent="0.3">
      <c r="A6" s="11">
        <v>218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3">
      <c r="A7" s="11">
        <v>215</v>
      </c>
      <c r="B7" s="11">
        <v>-44.651250502012388</v>
      </c>
      <c r="C7" s="11">
        <v>-59.512298704586108</v>
      </c>
      <c r="D7" s="11">
        <v>-31.569093032030693</v>
      </c>
      <c r="E7" s="11">
        <v>-30.490550369533054</v>
      </c>
      <c r="F7" s="11">
        <v>-31.708986431473846</v>
      </c>
      <c r="G7" s="11">
        <v>-32.256883484630777</v>
      </c>
      <c r="H7" s="11">
        <v>-31.742947529982452</v>
      </c>
      <c r="I7" s="11">
        <v>-31.091927261837291</v>
      </c>
      <c r="J7" s="11">
        <v>-31.981715048974287</v>
      </c>
      <c r="K7" s="11"/>
      <c r="L7" s="11">
        <v>-32.911291515861294</v>
      </c>
      <c r="M7" s="11"/>
      <c r="N7" s="11"/>
    </row>
    <row r="8" spans="1:14" x14ac:dyDescent="0.3">
      <c r="A8" s="11">
        <v>213</v>
      </c>
      <c r="B8" s="11">
        <v>-34.731390203759915</v>
      </c>
      <c r="C8" s="11" t="s">
        <v>77</v>
      </c>
      <c r="D8" s="11">
        <v>-31.996203709878035</v>
      </c>
      <c r="E8" s="11">
        <v>-30.756848245907115</v>
      </c>
      <c r="F8" s="11">
        <v>-30.621514039592121</v>
      </c>
      <c r="G8" s="11">
        <v>-30.276126127291064</v>
      </c>
      <c r="H8" s="11">
        <v>-30.363942639824053</v>
      </c>
      <c r="I8" s="11">
        <v>-30.707678206793606</v>
      </c>
      <c r="J8" s="11">
        <v>-31.119884043298946</v>
      </c>
      <c r="K8" s="11">
        <v>-31.704057791423601</v>
      </c>
      <c r="L8" s="11">
        <v>-32.368908628927564</v>
      </c>
      <c r="M8" s="11">
        <v>-32.780070842612943</v>
      </c>
      <c r="N8" s="11">
        <v>-33.673026915285249</v>
      </c>
    </row>
    <row r="9" spans="1:14" x14ac:dyDescent="0.3">
      <c r="A9" s="11">
        <v>212</v>
      </c>
      <c r="B9" s="11">
        <v>-44.955510154329026</v>
      </c>
      <c r="C9" s="11">
        <v>-49.666106528016684</v>
      </c>
      <c r="D9" s="11">
        <v>-31.444492809572061</v>
      </c>
      <c r="E9" s="11">
        <v>-30.75435888399533</v>
      </c>
      <c r="F9" s="11">
        <v>-32.061995314824564</v>
      </c>
      <c r="G9" s="11">
        <v>-31.683433480710477</v>
      </c>
      <c r="H9" s="11">
        <v>-31.901820753991231</v>
      </c>
      <c r="I9" s="11">
        <v>-31.679424559470498</v>
      </c>
      <c r="J9" s="11">
        <v>-32.037925106361087</v>
      </c>
      <c r="K9" s="11">
        <v>-31.470316178436882</v>
      </c>
      <c r="L9" s="11">
        <v>-33.497223311937276</v>
      </c>
      <c r="M9" s="11"/>
      <c r="N9" s="11">
        <v>-34.545938168267156</v>
      </c>
    </row>
    <row r="10" spans="1:14" x14ac:dyDescent="0.3">
      <c r="A10" s="11">
        <v>210</v>
      </c>
      <c r="B10" s="11">
        <v>-34.637969036890681</v>
      </c>
      <c r="C10" s="11">
        <v>-31.875735551165747</v>
      </c>
      <c r="D10" s="11">
        <v>-31.269435097057737</v>
      </c>
      <c r="E10" s="11">
        <v>-30.95525372669427</v>
      </c>
      <c r="F10" s="11">
        <v>-31.369312072870613</v>
      </c>
      <c r="G10" s="11">
        <v>-31.127019353563689</v>
      </c>
      <c r="H10" s="11">
        <v>-31.005477054243819</v>
      </c>
      <c r="I10" s="11">
        <v>-32.570820501681652</v>
      </c>
      <c r="J10" s="11">
        <v>-32.967670215835255</v>
      </c>
      <c r="K10" s="11">
        <v>-32.693343691738669</v>
      </c>
      <c r="L10" s="11">
        <v>-33.5220613985379</v>
      </c>
      <c r="M10" s="11"/>
      <c r="N10" s="11">
        <v>-33.985153092577136</v>
      </c>
    </row>
    <row r="11" spans="1:14" x14ac:dyDescent="0.3">
      <c r="A11" s="11">
        <v>207</v>
      </c>
      <c r="B11" s="11">
        <v>-32.566321601907816</v>
      </c>
      <c r="C11" s="11">
        <v>-34.886057478613004</v>
      </c>
      <c r="D11" s="11">
        <v>-31.482436317158871</v>
      </c>
      <c r="E11" s="11">
        <v>-30.941322109564897</v>
      </c>
      <c r="F11" s="11">
        <v>-32.095987187135222</v>
      </c>
      <c r="G11" s="11">
        <v>-31.086099763072745</v>
      </c>
      <c r="H11" s="11">
        <v>-31.97926257805311</v>
      </c>
      <c r="I11" s="11">
        <v>-32.099827288888449</v>
      </c>
      <c r="J11" s="11">
        <v>-32.970252162108522</v>
      </c>
      <c r="K11" s="11">
        <v>-33.258876367804589</v>
      </c>
      <c r="L11" s="11">
        <v>-33.581778951685813</v>
      </c>
      <c r="M11" s="11"/>
      <c r="N11" s="11">
        <v>-34.292278013853206</v>
      </c>
    </row>
    <row r="12" spans="1:14" x14ac:dyDescent="0.3">
      <c r="A12" s="11">
        <v>205</v>
      </c>
      <c r="B12" s="11">
        <v>-35.048638839016881</v>
      </c>
      <c r="C12" s="11">
        <v>-36.052015208833296</v>
      </c>
      <c r="D12" s="11">
        <v>-31.962176990957282</v>
      </c>
      <c r="E12" s="11">
        <v>-30.887286827799116</v>
      </c>
      <c r="F12" s="11">
        <v>-32.201468148512589</v>
      </c>
      <c r="G12" s="11">
        <v>-31.579022710590053</v>
      </c>
      <c r="H12" s="11">
        <v>-31.780696535368087</v>
      </c>
      <c r="I12" s="11">
        <v>-31.656094434881332</v>
      </c>
      <c r="J12" s="11">
        <v>-31.911838331020526</v>
      </c>
      <c r="K12" s="11">
        <v>-33.571682283520857</v>
      </c>
      <c r="L12" s="11">
        <v>-32.867919237665774</v>
      </c>
      <c r="M12" s="11">
        <v>-35.936086175042497</v>
      </c>
      <c r="N12" s="11">
        <v>-33.737794865633091</v>
      </c>
    </row>
    <row r="13" spans="1:14" x14ac:dyDescent="0.3">
      <c r="A13" s="11">
        <v>203</v>
      </c>
      <c r="B13" s="11">
        <v>-36.240149125703795</v>
      </c>
      <c r="C13" s="11">
        <v>-37.202079565386313</v>
      </c>
      <c r="D13" s="11">
        <v>-31.268062630522635</v>
      </c>
      <c r="E13" s="11">
        <v>-30.501275250384378</v>
      </c>
      <c r="F13" s="11">
        <v>-31.980162387418837</v>
      </c>
      <c r="G13" s="11">
        <v>-31.640692365761822</v>
      </c>
      <c r="H13" s="11">
        <v>-30.580088175230856</v>
      </c>
      <c r="I13" s="11">
        <v>-36.101448444685268</v>
      </c>
      <c r="J13" s="11">
        <v>-32.028198237130539</v>
      </c>
      <c r="K13" s="11">
        <v>-31.295381346409762</v>
      </c>
      <c r="L13" s="11">
        <v>-33.061947546417926</v>
      </c>
      <c r="M13" s="11"/>
      <c r="N13" s="11">
        <v>-34.846213701367319</v>
      </c>
    </row>
    <row r="14" spans="1:14" x14ac:dyDescent="0.3">
      <c r="A14" s="11">
        <v>200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3">
      <c r="A15" s="11">
        <v>199</v>
      </c>
      <c r="B15" s="11">
        <v>-33.295030512240196</v>
      </c>
      <c r="C15" s="11">
        <v>-32.887806778559678</v>
      </c>
      <c r="D15" s="11">
        <v>-31.771838980726255</v>
      </c>
      <c r="E15" s="11">
        <v>-31.704814870412498</v>
      </c>
      <c r="F15" s="11">
        <v>-33.172372903746989</v>
      </c>
      <c r="G15" s="11">
        <v>-32.593208240281179</v>
      </c>
      <c r="H15" s="11">
        <v>-32.494412687152277</v>
      </c>
      <c r="I15" s="11">
        <v>-34.090099431984051</v>
      </c>
      <c r="J15" s="11">
        <v>-31.608384589859188</v>
      </c>
      <c r="K15" s="11">
        <v>-33.254658186583164</v>
      </c>
      <c r="L15" s="11">
        <v>-33.154116283236995</v>
      </c>
      <c r="M15" s="11">
        <v>-36.731337530192889</v>
      </c>
      <c r="N15" s="11">
        <v>-34.667459665936903</v>
      </c>
    </row>
    <row r="16" spans="1:14" x14ac:dyDescent="0.3">
      <c r="A16" s="11">
        <v>198</v>
      </c>
      <c r="B16" s="11" t="s">
        <v>77</v>
      </c>
      <c r="C16" s="11" t="s">
        <v>77</v>
      </c>
      <c r="D16" s="11">
        <v>-33.484353698616687</v>
      </c>
      <c r="E16" s="11">
        <v>-31.998706334905275</v>
      </c>
      <c r="F16" s="11">
        <v>-31.212168441662794</v>
      </c>
      <c r="G16" s="11">
        <v>-31.372487968470793</v>
      </c>
      <c r="H16" s="11">
        <v>-32.044840126675865</v>
      </c>
      <c r="I16" s="11">
        <v>-30.704551233034291</v>
      </c>
      <c r="J16" s="11">
        <v>-32.131117909359951</v>
      </c>
      <c r="K16" s="11">
        <v>-37.442042298333064</v>
      </c>
      <c r="L16" s="11">
        <v>-36.103669581648504</v>
      </c>
      <c r="M16" s="11"/>
      <c r="N16" s="11">
        <v>-38.856613577929437</v>
      </c>
    </row>
    <row r="17" spans="1:14" x14ac:dyDescent="0.3">
      <c r="A17" s="11">
        <v>197</v>
      </c>
      <c r="B17" s="11">
        <v>-33.927605230952231</v>
      </c>
      <c r="C17" s="11">
        <v>-33.885161338013873</v>
      </c>
      <c r="D17" s="11">
        <v>-32.778436953664666</v>
      </c>
      <c r="E17" s="11">
        <v>-31.591578517685669</v>
      </c>
      <c r="F17" s="11">
        <v>-32.2909392597928</v>
      </c>
      <c r="G17" s="11">
        <v>-32.205514339145296</v>
      </c>
      <c r="H17" s="11">
        <v>-31.943738556246927</v>
      </c>
      <c r="I17" s="11">
        <v>-31.881232048210443</v>
      </c>
      <c r="J17" s="11">
        <v>-31.654380456120577</v>
      </c>
      <c r="K17" s="11">
        <v>-32.335023930458206</v>
      </c>
      <c r="L17" s="11">
        <v>-32.590461824164166</v>
      </c>
      <c r="M17" s="11">
        <v>-33.198652107756025</v>
      </c>
      <c r="N17" s="11">
        <v>-33.975273528370693</v>
      </c>
    </row>
    <row r="18" spans="1:14" x14ac:dyDescent="0.3">
      <c r="A18" s="11">
        <v>196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3">
      <c r="A19" s="11">
        <v>195</v>
      </c>
      <c r="B19" s="11">
        <v>-31.910581804794955</v>
      </c>
      <c r="C19" s="11">
        <v>-35.769271405996669</v>
      </c>
      <c r="D19" s="11">
        <v>-32.323876339139872</v>
      </c>
      <c r="E19" s="11">
        <v>-31.516996793847113</v>
      </c>
      <c r="F19" s="11">
        <v>-32.301043413217684</v>
      </c>
      <c r="G19" s="11">
        <v>-32.40596840160481</v>
      </c>
      <c r="H19" s="11">
        <v>-32.388437272475294</v>
      </c>
      <c r="I19" s="11">
        <v>-32.691137182928024</v>
      </c>
      <c r="J19" s="11">
        <v>-32.005900691402751</v>
      </c>
      <c r="K19" s="11">
        <v>-33.602708200889438</v>
      </c>
      <c r="L19" s="11">
        <v>-32.894704613757881</v>
      </c>
      <c r="M19" s="11">
        <v>-34.907915832957357</v>
      </c>
      <c r="N19" s="11">
        <v>-34.495094552208933</v>
      </c>
    </row>
    <row r="20" spans="1:14" x14ac:dyDescent="0.3">
      <c r="A20" s="11">
        <v>193</v>
      </c>
      <c r="B20" s="11">
        <v>-26.261892893316947</v>
      </c>
      <c r="C20" s="11">
        <v>-26.593790838586077</v>
      </c>
      <c r="D20" s="11">
        <v>-29.124229901711587</v>
      </c>
      <c r="E20" s="11">
        <v>-28.917842389034043</v>
      </c>
      <c r="F20" s="11">
        <v>-30.045007169994939</v>
      </c>
      <c r="G20" s="11">
        <v>-31.450794339489605</v>
      </c>
      <c r="H20" s="11">
        <v>-31.396455872043628</v>
      </c>
      <c r="I20" s="11">
        <v>-30.751909142069117</v>
      </c>
      <c r="J20" s="11">
        <v>-31.02919366994654</v>
      </c>
      <c r="K20" s="11">
        <v>-30.993939226261364</v>
      </c>
      <c r="L20" s="11">
        <v>-32.607939767123199</v>
      </c>
      <c r="M20" s="11">
        <v>-34.298823125347774</v>
      </c>
      <c r="N20" s="11">
        <v>-34.79715649655229</v>
      </c>
    </row>
    <row r="21" spans="1:14" x14ac:dyDescent="0.3">
      <c r="A21" s="11">
        <v>192</v>
      </c>
      <c r="B21" s="11">
        <v>-33.364149837477498</v>
      </c>
      <c r="C21" s="11">
        <v>-33.592047783198936</v>
      </c>
      <c r="D21" s="11">
        <v>-32.071060755952907</v>
      </c>
      <c r="E21" s="11">
        <v>-31.386209605100156</v>
      </c>
      <c r="F21" s="11">
        <v>-32.06181567757006</v>
      </c>
      <c r="G21" s="11">
        <v>-32.304328787555434</v>
      </c>
      <c r="H21" s="11">
        <v>-32.491043095722205</v>
      </c>
      <c r="I21" s="11">
        <v>-33.05928531589673</v>
      </c>
      <c r="J21" s="11">
        <v>-32.017638842782894</v>
      </c>
      <c r="K21" s="11">
        <v>-34.092593765276305</v>
      </c>
      <c r="L21" s="11">
        <v>-33.090553223822674</v>
      </c>
      <c r="M21" s="11">
        <v>-35.971045930566049</v>
      </c>
      <c r="N21" s="11">
        <v>-34.603446776641803</v>
      </c>
    </row>
    <row r="22" spans="1:14" x14ac:dyDescent="0.3">
      <c r="A22" s="11">
        <v>191</v>
      </c>
      <c r="B22" s="11">
        <v>-29.674679888761702</v>
      </c>
      <c r="C22" s="11">
        <v>-32.219673019953895</v>
      </c>
      <c r="D22" s="11">
        <v>-32.11477572990924</v>
      </c>
      <c r="E22" s="11">
        <v>-31.44344949383758</v>
      </c>
      <c r="F22" s="11">
        <v>-32.169826266501168</v>
      </c>
      <c r="G22" s="11">
        <v>-31.537993173820443</v>
      </c>
      <c r="H22" s="11">
        <v>-32.220395498526429</v>
      </c>
      <c r="I22" s="11">
        <v>-33.307087288055442</v>
      </c>
      <c r="J22" s="11">
        <v>-31.712834819988238</v>
      </c>
      <c r="K22" s="11">
        <v>-33.673328673144134</v>
      </c>
      <c r="L22" s="11">
        <v>-32.831529593890778</v>
      </c>
      <c r="M22" s="11">
        <v>-36.095063897289094</v>
      </c>
      <c r="N22" s="11">
        <v>-34.631536420342137</v>
      </c>
    </row>
    <row r="23" spans="1:14" x14ac:dyDescent="0.3">
      <c r="A23" s="11">
        <v>189</v>
      </c>
      <c r="B23" s="11">
        <v>-30.909694765695697</v>
      </c>
      <c r="C23" s="11">
        <v>-32.747249389038259</v>
      </c>
      <c r="D23" s="11">
        <v>-31.416839535100749</v>
      </c>
      <c r="E23" s="11">
        <v>-31.149137480146909</v>
      </c>
      <c r="F23" s="11">
        <v>-31.661747779247374</v>
      </c>
      <c r="G23" s="11">
        <v>-31.396889663067974</v>
      </c>
      <c r="H23" s="11">
        <v>-32.040047504276814</v>
      </c>
      <c r="I23" s="11">
        <v>-33.103996835225445</v>
      </c>
      <c r="J23" s="11">
        <v>-31.318650272537269</v>
      </c>
      <c r="K23" s="11">
        <v>-33.278305712983297</v>
      </c>
      <c r="L23" s="11">
        <v>-32.04796200057109</v>
      </c>
      <c r="M23" s="11">
        <v>-33.452431749065283</v>
      </c>
      <c r="N23" s="11">
        <v>-33.726009413626485</v>
      </c>
    </row>
    <row r="24" spans="1:14" x14ac:dyDescent="0.3">
      <c r="A24" s="11">
        <v>188</v>
      </c>
      <c r="B24" s="11">
        <v>-30.139031498989421</v>
      </c>
      <c r="C24" s="11">
        <v>-32.721503645310193</v>
      </c>
      <c r="D24" s="11">
        <v>-29.344982160508422</v>
      </c>
      <c r="E24" s="11">
        <v>-31.128792300904834</v>
      </c>
      <c r="F24" s="11">
        <v>-31.359470725595244</v>
      </c>
      <c r="G24" s="11">
        <v>-31.156664350390955</v>
      </c>
      <c r="H24" s="11">
        <v>-31.548306801589796</v>
      </c>
      <c r="I24" s="11">
        <v>-30.735335400938347</v>
      </c>
      <c r="J24" s="11">
        <v>-30.884623816179918</v>
      </c>
      <c r="K24" s="11">
        <v>-32.891608808404229</v>
      </c>
      <c r="L24" s="11">
        <v>-31.775916223565133</v>
      </c>
      <c r="M24" s="11">
        <v>-33.729569124828615</v>
      </c>
      <c r="N24" s="11">
        <v>-32.875739110267233</v>
      </c>
    </row>
    <row r="25" spans="1:14" x14ac:dyDescent="0.3">
      <c r="A25" s="11">
        <v>187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3">
      <c r="A26" s="11">
        <v>185</v>
      </c>
      <c r="B26" s="11">
        <v>-29.010397037382504</v>
      </c>
      <c r="C26" s="11">
        <v>-29.617455506705266</v>
      </c>
      <c r="D26" s="11">
        <v>-30.670641013068174</v>
      </c>
      <c r="E26" s="11">
        <v>-30.727924494359481</v>
      </c>
      <c r="F26" s="11">
        <v>-31.005624039199944</v>
      </c>
      <c r="G26" s="11">
        <v>-31.225997740812332</v>
      </c>
      <c r="H26" s="11">
        <v>-31.238945011401206</v>
      </c>
      <c r="I26" s="11">
        <v>-31.832532566011274</v>
      </c>
      <c r="J26" s="11">
        <v>-30.742631979649943</v>
      </c>
      <c r="K26" s="11">
        <v>-32.754524994535288</v>
      </c>
      <c r="L26" s="11">
        <v>-31.686540650681739</v>
      </c>
      <c r="M26" s="11">
        <v>-33.390436727320626</v>
      </c>
      <c r="N26" s="11">
        <v>-32.724417413504668</v>
      </c>
    </row>
    <row r="27" spans="1:14" x14ac:dyDescent="0.3">
      <c r="A27" s="11">
        <v>183</v>
      </c>
      <c r="B27" s="11">
        <v>-30.005747271519009</v>
      </c>
      <c r="C27" s="11">
        <v>-32.216779774776938</v>
      </c>
      <c r="D27" s="11">
        <v>-25.6062699010618</v>
      </c>
      <c r="E27" s="11">
        <v>-31.268309926560974</v>
      </c>
      <c r="F27" s="11">
        <v>-31.459060092603323</v>
      </c>
      <c r="G27" s="11">
        <v>-31.873821367121881</v>
      </c>
      <c r="H27" s="11">
        <v>-31.899325014113607</v>
      </c>
      <c r="I27" s="11">
        <v>-31.600726983579818</v>
      </c>
      <c r="J27" s="11">
        <v>-31.106115506465983</v>
      </c>
      <c r="K27" s="11">
        <v>-33.699798537975447</v>
      </c>
      <c r="L27" s="11">
        <v>-31.719064572618009</v>
      </c>
      <c r="M27" s="11"/>
      <c r="N27" s="11"/>
    </row>
    <row r="28" spans="1:14" x14ac:dyDescent="0.3">
      <c r="A28" s="11">
        <v>182</v>
      </c>
      <c r="B28" s="11">
        <v>-33.387890698951409</v>
      </c>
      <c r="C28" s="11">
        <v>-30.458650412406989</v>
      </c>
      <c r="D28" s="11">
        <v>-32.009335101162627</v>
      </c>
      <c r="E28" s="11">
        <v>-31.39295638391723</v>
      </c>
      <c r="F28" s="11">
        <v>-32.139607607272033</v>
      </c>
      <c r="G28" s="11">
        <v>-31.49721602394505</v>
      </c>
      <c r="H28" s="11">
        <v>-32.364027162413066</v>
      </c>
      <c r="I28" s="11">
        <v>-29.462530088394711</v>
      </c>
      <c r="J28" s="11">
        <v>-31.752620378792287</v>
      </c>
      <c r="K28" s="11">
        <v>-33.552625786934819</v>
      </c>
      <c r="L28" s="11">
        <v>-32.680866533268158</v>
      </c>
      <c r="M28" s="11"/>
      <c r="N28" s="11">
        <v>-33.917859078776971</v>
      </c>
    </row>
  </sheetData>
  <conditionalFormatting sqref="A1">
    <cfRule type="duplicateValues" dxfId="1" priority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B523-7452-418A-9791-78BF5AE2F644}">
  <dimension ref="A1:AB14"/>
  <sheetViews>
    <sheetView workbookViewId="0">
      <selection activeCell="A12" sqref="A12"/>
    </sheetView>
  </sheetViews>
  <sheetFormatPr baseColWidth="10" defaultRowHeight="14.4" x14ac:dyDescent="0.3"/>
  <sheetData>
    <row r="1" spans="1:28" x14ac:dyDescent="0.3">
      <c r="A1" s="11" t="s">
        <v>77</v>
      </c>
      <c r="B1" s="11">
        <v>225</v>
      </c>
      <c r="C1" s="11">
        <v>224</v>
      </c>
      <c r="D1" s="11">
        <v>223</v>
      </c>
      <c r="E1" s="11">
        <v>221</v>
      </c>
      <c r="F1" s="11">
        <v>218</v>
      </c>
      <c r="G1" s="11">
        <v>215</v>
      </c>
      <c r="H1" s="11">
        <v>213</v>
      </c>
      <c r="I1" s="11">
        <v>212</v>
      </c>
      <c r="J1" s="11">
        <v>210</v>
      </c>
      <c r="K1" s="11">
        <v>207</v>
      </c>
      <c r="L1" s="11">
        <v>205</v>
      </c>
      <c r="M1" s="11">
        <v>203</v>
      </c>
      <c r="N1" s="11">
        <v>200</v>
      </c>
      <c r="O1" s="11">
        <v>199</v>
      </c>
      <c r="P1" s="11">
        <v>198</v>
      </c>
      <c r="Q1" s="11">
        <v>197</v>
      </c>
      <c r="R1" s="11">
        <v>196</v>
      </c>
      <c r="S1" s="11">
        <v>195</v>
      </c>
      <c r="T1" s="11">
        <v>193</v>
      </c>
      <c r="U1" s="11">
        <v>192</v>
      </c>
      <c r="V1" s="11">
        <v>191</v>
      </c>
      <c r="W1" s="11">
        <v>189</v>
      </c>
      <c r="X1" s="11">
        <v>188</v>
      </c>
      <c r="Y1" s="11">
        <v>187</v>
      </c>
      <c r="Z1" s="11">
        <v>185</v>
      </c>
      <c r="AA1" s="11">
        <v>183</v>
      </c>
      <c r="AB1" s="11">
        <v>182</v>
      </c>
    </row>
    <row r="2" spans="1:28" x14ac:dyDescent="0.3">
      <c r="A2" s="12" t="s">
        <v>78</v>
      </c>
      <c r="B2" s="11">
        <v>-32.706911862573108</v>
      </c>
      <c r="C2" s="11"/>
      <c r="D2" s="11"/>
      <c r="E2" s="11">
        <v>-33.431397267846108</v>
      </c>
      <c r="F2" s="11"/>
      <c r="G2" s="11">
        <v>-44.651250502012388</v>
      </c>
      <c r="H2" s="11">
        <v>-34.731390203759915</v>
      </c>
      <c r="I2" s="11">
        <v>-44.955510154329026</v>
      </c>
      <c r="J2" s="11">
        <v>-34.637969036890681</v>
      </c>
      <c r="K2" s="11">
        <v>-32.566321601907816</v>
      </c>
      <c r="L2" s="11">
        <v>-35.048638839016881</v>
      </c>
      <c r="M2" s="11">
        <v>-36.240149125703795</v>
      </c>
      <c r="N2" s="11"/>
      <c r="O2" s="11">
        <v>-33.295030512240196</v>
      </c>
      <c r="P2" s="11"/>
      <c r="Q2" s="11">
        <v>-33.927605230952231</v>
      </c>
      <c r="R2" s="11"/>
      <c r="S2" s="11">
        <v>-31.910581804794955</v>
      </c>
      <c r="T2" s="11">
        <v>-26.261892893316947</v>
      </c>
      <c r="U2" s="11">
        <v>-33.364149837477498</v>
      </c>
      <c r="V2" s="11">
        <v>-29.674679888761702</v>
      </c>
      <c r="W2" s="11">
        <v>-30.909694765695697</v>
      </c>
      <c r="X2" s="11">
        <v>-30.139031498989421</v>
      </c>
      <c r="Y2" s="11"/>
      <c r="Z2" s="11">
        <v>-29.010397037382504</v>
      </c>
      <c r="AA2" s="11">
        <v>-30.005747271519009</v>
      </c>
      <c r="AB2" s="11">
        <v>-33.387890698951409</v>
      </c>
    </row>
    <row r="3" spans="1:28" x14ac:dyDescent="0.3">
      <c r="A3" s="12" t="s">
        <v>79</v>
      </c>
      <c r="B3" s="11">
        <v>-42.067204447389344</v>
      </c>
      <c r="C3" s="11"/>
      <c r="D3" s="11"/>
      <c r="E3" s="11">
        <v>-46.811000989117993</v>
      </c>
      <c r="F3" s="11"/>
      <c r="G3" s="11">
        <v>-59.512298704586108</v>
      </c>
      <c r="H3" s="11"/>
      <c r="I3" s="11">
        <v>-49.666106528016684</v>
      </c>
      <c r="J3" s="11">
        <v>-31.875735551165747</v>
      </c>
      <c r="K3" s="11">
        <v>-34.886057478613004</v>
      </c>
      <c r="L3" s="11">
        <v>-36.052015208833296</v>
      </c>
      <c r="M3" s="11">
        <v>-37.202079565386313</v>
      </c>
      <c r="N3" s="11"/>
      <c r="O3" s="11">
        <v>-32.887806778559678</v>
      </c>
      <c r="P3" s="11"/>
      <c r="Q3" s="11">
        <v>-33.885161338013873</v>
      </c>
      <c r="R3" s="11"/>
      <c r="S3" s="11">
        <v>-35.769271405996669</v>
      </c>
      <c r="T3" s="11">
        <v>-26.593790838586077</v>
      </c>
      <c r="U3" s="11">
        <v>-33.592047783198936</v>
      </c>
      <c r="V3" s="11">
        <v>-32.219673019953895</v>
      </c>
      <c r="W3" s="11">
        <v>-32.747249389038259</v>
      </c>
      <c r="X3" s="11">
        <v>-32.721503645310193</v>
      </c>
      <c r="Y3" s="11"/>
      <c r="Z3" s="11">
        <v>-29.617455506705266</v>
      </c>
      <c r="AA3" s="11">
        <v>-32.216779774776938</v>
      </c>
      <c r="AB3" s="11">
        <v>-30.458650412406989</v>
      </c>
    </row>
    <row r="4" spans="1:28" x14ac:dyDescent="0.3">
      <c r="A4" s="12" t="s">
        <v>80</v>
      </c>
      <c r="B4" s="11">
        <v>-31.26013397320628</v>
      </c>
      <c r="C4" s="11"/>
      <c r="D4" s="11"/>
      <c r="E4" s="11">
        <v>-31.388693674095929</v>
      </c>
      <c r="F4" s="11"/>
      <c r="G4" s="11">
        <v>-31.569093032030693</v>
      </c>
      <c r="H4" s="11">
        <v>-31.996203709878035</v>
      </c>
      <c r="I4" s="11">
        <v>-31.444492809572061</v>
      </c>
      <c r="J4" s="11">
        <v>-31.269435097057737</v>
      </c>
      <c r="K4" s="11">
        <v>-31.482436317158871</v>
      </c>
      <c r="L4" s="11">
        <v>-31.962176990957282</v>
      </c>
      <c r="M4" s="11">
        <v>-31.268062630522635</v>
      </c>
      <c r="N4" s="11"/>
      <c r="O4" s="11">
        <v>-31.771838980726255</v>
      </c>
      <c r="P4" s="11">
        <v>-33.484353698616687</v>
      </c>
      <c r="Q4" s="11">
        <v>-32.778436953664666</v>
      </c>
      <c r="R4" s="11"/>
      <c r="S4" s="11">
        <v>-32.323876339139872</v>
      </c>
      <c r="T4" s="11">
        <v>-29.124229901711587</v>
      </c>
      <c r="U4" s="11">
        <v>-32.071060755952907</v>
      </c>
      <c r="V4" s="11">
        <v>-32.11477572990924</v>
      </c>
      <c r="W4" s="11">
        <v>-31.416839535100749</v>
      </c>
      <c r="X4" s="11">
        <v>-29.344982160508422</v>
      </c>
      <c r="Y4" s="11"/>
      <c r="Z4" s="11">
        <v>-30.670641013068174</v>
      </c>
      <c r="AA4" s="11">
        <v>-25.6062699010618</v>
      </c>
      <c r="AB4" s="11">
        <v>-32.009335101162627</v>
      </c>
    </row>
    <row r="5" spans="1:28" x14ac:dyDescent="0.3">
      <c r="A5" s="12" t="s">
        <v>81</v>
      </c>
      <c r="B5" s="11">
        <v>-30.704770209768814</v>
      </c>
      <c r="C5" s="11"/>
      <c r="D5" s="11"/>
      <c r="E5" s="11">
        <v>-30.058523820439689</v>
      </c>
      <c r="F5" s="11"/>
      <c r="G5" s="11">
        <v>-30.490550369533054</v>
      </c>
      <c r="H5" s="11">
        <v>-30.756848245907115</v>
      </c>
      <c r="I5" s="11">
        <v>-30.75435888399533</v>
      </c>
      <c r="J5" s="11">
        <v>-30.95525372669427</v>
      </c>
      <c r="K5" s="11">
        <v>-30.941322109564897</v>
      </c>
      <c r="L5" s="11">
        <v>-30.887286827799116</v>
      </c>
      <c r="M5" s="11">
        <v>-30.501275250384378</v>
      </c>
      <c r="N5" s="11"/>
      <c r="O5" s="11">
        <v>-31.704814870412498</v>
      </c>
      <c r="P5" s="11">
        <v>-31.998706334905275</v>
      </c>
      <c r="Q5" s="11">
        <v>-31.591578517685669</v>
      </c>
      <c r="R5" s="11"/>
      <c r="S5" s="11">
        <v>-31.516996793847113</v>
      </c>
      <c r="T5" s="11">
        <v>-28.917842389034043</v>
      </c>
      <c r="U5" s="11">
        <v>-31.386209605100156</v>
      </c>
      <c r="V5" s="11">
        <v>-31.44344949383758</v>
      </c>
      <c r="W5" s="11">
        <v>-31.149137480146909</v>
      </c>
      <c r="X5" s="11">
        <v>-31.128792300904834</v>
      </c>
      <c r="Y5" s="11"/>
      <c r="Z5" s="11">
        <v>-30.727924494359481</v>
      </c>
      <c r="AA5" s="11">
        <v>-31.268309926560974</v>
      </c>
      <c r="AB5" s="11">
        <v>-31.39295638391723</v>
      </c>
    </row>
    <row r="6" spans="1:28" x14ac:dyDescent="0.3">
      <c r="A6" s="12" t="s">
        <v>82</v>
      </c>
      <c r="B6" s="11">
        <v>-31.207487041152262</v>
      </c>
      <c r="C6" s="11"/>
      <c r="D6" s="11"/>
      <c r="E6" s="11">
        <v>-31.248658257509422</v>
      </c>
      <c r="F6" s="11"/>
      <c r="G6" s="11">
        <v>-31.708986431473846</v>
      </c>
      <c r="H6" s="11">
        <v>-30.621514039592121</v>
      </c>
      <c r="I6" s="11">
        <v>-32.061995314824564</v>
      </c>
      <c r="J6" s="11">
        <v>-31.369312072870613</v>
      </c>
      <c r="K6" s="11">
        <v>-32.095987187135222</v>
      </c>
      <c r="L6" s="11">
        <v>-32.201468148512589</v>
      </c>
      <c r="M6" s="11">
        <v>-31.980162387418837</v>
      </c>
      <c r="N6" s="11"/>
      <c r="O6" s="11">
        <v>-33.172372903746989</v>
      </c>
      <c r="P6" s="11">
        <v>-31.212168441662794</v>
      </c>
      <c r="Q6" s="11">
        <v>-32.2909392597928</v>
      </c>
      <c r="R6" s="11"/>
      <c r="S6" s="11">
        <v>-32.301043413217684</v>
      </c>
      <c r="T6" s="11">
        <v>-30.045007169994939</v>
      </c>
      <c r="U6" s="11">
        <v>-32.06181567757006</v>
      </c>
      <c r="V6" s="11">
        <v>-32.169826266501168</v>
      </c>
      <c r="W6" s="11">
        <v>-31.661747779247374</v>
      </c>
      <c r="X6" s="11">
        <v>-31.359470725595244</v>
      </c>
      <c r="Y6" s="11"/>
      <c r="Z6" s="11">
        <v>-31.005624039199944</v>
      </c>
      <c r="AA6" s="11">
        <v>-31.459060092603323</v>
      </c>
      <c r="AB6" s="11">
        <v>-32.139607607272033</v>
      </c>
    </row>
    <row r="7" spans="1:28" x14ac:dyDescent="0.3">
      <c r="A7" s="12" t="s">
        <v>83</v>
      </c>
      <c r="B7" s="11">
        <v>-30.454184180180086</v>
      </c>
      <c r="C7" s="11"/>
      <c r="D7" s="11"/>
      <c r="E7" s="11">
        <v>-31.539698583065757</v>
      </c>
      <c r="F7" s="11"/>
      <c r="G7" s="11">
        <v>-32.256883484630777</v>
      </c>
      <c r="H7" s="11">
        <v>-30.276126127291064</v>
      </c>
      <c r="I7" s="11">
        <v>-31.683433480710477</v>
      </c>
      <c r="J7" s="11">
        <v>-31.127019353563689</v>
      </c>
      <c r="K7" s="11">
        <v>-31.086099763072745</v>
      </c>
      <c r="L7" s="11">
        <v>-31.579022710590053</v>
      </c>
      <c r="M7" s="11">
        <v>-31.640692365761822</v>
      </c>
      <c r="N7" s="11"/>
      <c r="O7" s="11">
        <v>-32.593208240281179</v>
      </c>
      <c r="P7" s="11">
        <v>-31.372487968470793</v>
      </c>
      <c r="Q7" s="11">
        <v>-32.205514339145296</v>
      </c>
      <c r="R7" s="11"/>
      <c r="S7" s="11">
        <v>-32.40596840160481</v>
      </c>
      <c r="T7" s="11">
        <v>-31.450794339489605</v>
      </c>
      <c r="U7" s="11">
        <v>-32.304328787555434</v>
      </c>
      <c r="V7" s="11">
        <v>-31.537993173820443</v>
      </c>
      <c r="W7" s="11">
        <v>-31.396889663067974</v>
      </c>
      <c r="X7" s="11">
        <v>-31.156664350390955</v>
      </c>
      <c r="Y7" s="11"/>
      <c r="Z7" s="11">
        <v>-31.225997740812332</v>
      </c>
      <c r="AA7" s="11">
        <v>-31.873821367121881</v>
      </c>
      <c r="AB7" s="11">
        <v>-31.49721602394505</v>
      </c>
    </row>
    <row r="8" spans="1:28" x14ac:dyDescent="0.3">
      <c r="A8" s="12" t="s">
        <v>84</v>
      </c>
      <c r="B8" s="11">
        <v>-31.077016631381291</v>
      </c>
      <c r="C8" s="11"/>
      <c r="D8" s="11"/>
      <c r="E8" s="11">
        <v>-31.871337630749004</v>
      </c>
      <c r="F8" s="11"/>
      <c r="G8" s="11">
        <v>-31.742947529982452</v>
      </c>
      <c r="H8" s="11">
        <v>-30.363942639824053</v>
      </c>
      <c r="I8" s="11">
        <v>-31.901820753991231</v>
      </c>
      <c r="J8" s="11">
        <v>-31.005477054243819</v>
      </c>
      <c r="K8" s="11">
        <v>-31.97926257805311</v>
      </c>
      <c r="L8" s="11">
        <v>-31.780696535368087</v>
      </c>
      <c r="M8" s="11">
        <v>-30.580088175230856</v>
      </c>
      <c r="N8" s="11"/>
      <c r="O8" s="11">
        <v>-32.494412687152277</v>
      </c>
      <c r="P8" s="11">
        <v>-32.044840126675865</v>
      </c>
      <c r="Q8" s="11">
        <v>-31.943738556246927</v>
      </c>
      <c r="R8" s="11"/>
      <c r="S8" s="11">
        <v>-32.388437272475294</v>
      </c>
      <c r="T8" s="11">
        <v>-31.396455872043628</v>
      </c>
      <c r="U8" s="11">
        <v>-32.491043095722205</v>
      </c>
      <c r="V8" s="11">
        <v>-32.220395498526429</v>
      </c>
      <c r="W8" s="11">
        <v>-32.040047504276814</v>
      </c>
      <c r="X8" s="11">
        <v>-31.548306801589796</v>
      </c>
      <c r="Y8" s="11"/>
      <c r="Z8" s="11">
        <v>-31.238945011401206</v>
      </c>
      <c r="AA8" s="11">
        <v>-31.899325014113607</v>
      </c>
      <c r="AB8" s="11">
        <v>-32.364027162413066</v>
      </c>
    </row>
    <row r="9" spans="1:28" x14ac:dyDescent="0.3">
      <c r="A9" s="12" t="s">
        <v>85</v>
      </c>
      <c r="B9" s="11">
        <v>-30.534491627779985</v>
      </c>
      <c r="C9" s="11"/>
      <c r="D9" s="11"/>
      <c r="E9" s="11"/>
      <c r="F9" s="11"/>
      <c r="G9" s="11">
        <v>-31.091927261837291</v>
      </c>
      <c r="H9" s="11">
        <v>-30.707678206793606</v>
      </c>
      <c r="I9" s="11">
        <v>-31.679424559470498</v>
      </c>
      <c r="J9" s="11">
        <v>-32.570820501681652</v>
      </c>
      <c r="K9" s="11">
        <v>-32.099827288888449</v>
      </c>
      <c r="L9" s="11">
        <v>-31.656094434881332</v>
      </c>
      <c r="M9" s="11">
        <v>-36.101448444685268</v>
      </c>
      <c r="N9" s="11"/>
      <c r="O9" s="11">
        <v>-34.090099431984051</v>
      </c>
      <c r="P9" s="11">
        <v>-30.704551233034291</v>
      </c>
      <c r="Q9" s="11">
        <v>-31.881232048210443</v>
      </c>
      <c r="R9" s="11"/>
      <c r="S9" s="11">
        <v>-32.691137182928024</v>
      </c>
      <c r="T9" s="11">
        <v>-30.751909142069117</v>
      </c>
      <c r="U9" s="11">
        <v>-33.05928531589673</v>
      </c>
      <c r="V9" s="11">
        <v>-33.307087288055442</v>
      </c>
      <c r="W9" s="11">
        <v>-33.103996835225445</v>
      </c>
      <c r="X9" s="11">
        <v>-30.735335400938347</v>
      </c>
      <c r="Y9" s="11"/>
      <c r="Z9" s="11">
        <v>-31.832532566011274</v>
      </c>
      <c r="AA9" s="11">
        <v>-31.600726983579818</v>
      </c>
      <c r="AB9" s="11">
        <v>-29.462530088394711</v>
      </c>
    </row>
    <row r="10" spans="1:28" x14ac:dyDescent="0.3">
      <c r="A10" s="12" t="s">
        <v>86</v>
      </c>
      <c r="B10" s="11">
        <v>-32.019327287663913</v>
      </c>
      <c r="C10" s="11"/>
      <c r="D10" s="11"/>
      <c r="E10" s="11">
        <v>-32.329409465784259</v>
      </c>
      <c r="F10" s="11"/>
      <c r="G10" s="11">
        <v>-31.981715048974287</v>
      </c>
      <c r="H10" s="11">
        <v>-31.119884043298946</v>
      </c>
      <c r="I10" s="11">
        <v>-32.037925106361087</v>
      </c>
      <c r="J10" s="11">
        <v>-32.967670215835255</v>
      </c>
      <c r="K10" s="11">
        <v>-32.970252162108522</v>
      </c>
      <c r="L10" s="11">
        <v>-31.911838331020526</v>
      </c>
      <c r="M10" s="11">
        <v>-32.028198237130539</v>
      </c>
      <c r="N10" s="11"/>
      <c r="O10" s="11">
        <v>-31.608384589859188</v>
      </c>
      <c r="P10" s="11">
        <v>-32.131117909359951</v>
      </c>
      <c r="Q10" s="11">
        <v>-31.654380456120577</v>
      </c>
      <c r="R10" s="11"/>
      <c r="S10" s="11">
        <v>-32.005900691402751</v>
      </c>
      <c r="T10" s="11">
        <v>-31.02919366994654</v>
      </c>
      <c r="U10" s="11">
        <v>-32.017638842782894</v>
      </c>
      <c r="V10" s="11">
        <v>-31.712834819988238</v>
      </c>
      <c r="W10" s="11">
        <v>-31.318650272537269</v>
      </c>
      <c r="X10" s="11">
        <v>-30.884623816179918</v>
      </c>
      <c r="Y10" s="11"/>
      <c r="Z10" s="11">
        <v>-30.742631979649943</v>
      </c>
      <c r="AA10" s="11">
        <v>-31.106115506465983</v>
      </c>
      <c r="AB10" s="11">
        <v>-31.752620378792287</v>
      </c>
    </row>
    <row r="11" spans="1:28" x14ac:dyDescent="0.3">
      <c r="A11" s="12" t="s">
        <v>87</v>
      </c>
      <c r="B11" s="11">
        <v>-31.604565312929157</v>
      </c>
      <c r="C11" s="11"/>
      <c r="D11" s="11"/>
      <c r="E11" s="11"/>
      <c r="F11" s="11"/>
      <c r="G11" s="11"/>
      <c r="H11" s="11">
        <v>-31.704057791423601</v>
      </c>
      <c r="I11" s="11">
        <v>-31.470316178436882</v>
      </c>
      <c r="J11" s="11">
        <v>-32.693343691738669</v>
      </c>
      <c r="K11" s="11">
        <v>-33.258876367804589</v>
      </c>
      <c r="L11" s="11">
        <v>-33.571682283520857</v>
      </c>
      <c r="M11" s="11">
        <v>-31.295381346409762</v>
      </c>
      <c r="N11" s="11"/>
      <c r="O11" s="11">
        <v>-33.254658186583164</v>
      </c>
      <c r="P11" s="11">
        <v>-37.442042298333064</v>
      </c>
      <c r="Q11" s="11">
        <v>-32.335023930458206</v>
      </c>
      <c r="R11" s="11"/>
      <c r="S11" s="11">
        <v>-33.602708200889438</v>
      </c>
      <c r="T11" s="11">
        <v>-30.993939226261364</v>
      </c>
      <c r="U11" s="11">
        <v>-34.092593765276305</v>
      </c>
      <c r="V11" s="11">
        <v>-33.673328673144134</v>
      </c>
      <c r="W11" s="11">
        <v>-33.278305712983297</v>
      </c>
      <c r="X11" s="11">
        <v>-32.891608808404229</v>
      </c>
      <c r="Y11" s="11"/>
      <c r="Z11" s="11">
        <v>-32.754524994535288</v>
      </c>
      <c r="AA11" s="11">
        <v>-33.699798537975447</v>
      </c>
      <c r="AB11" s="11">
        <v>-33.552625786934819</v>
      </c>
    </row>
    <row r="12" spans="1:28" x14ac:dyDescent="0.3">
      <c r="A12" s="12" t="s">
        <v>88</v>
      </c>
      <c r="B12" s="11">
        <v>-33.21556357910471</v>
      </c>
      <c r="C12" s="11"/>
      <c r="D12" s="11"/>
      <c r="E12" s="11">
        <v>-33.971292892031272</v>
      </c>
      <c r="F12" s="11"/>
      <c r="G12" s="11">
        <v>-32.911291515861294</v>
      </c>
      <c r="H12" s="11">
        <v>-32.368908628927564</v>
      </c>
      <c r="I12" s="11">
        <v>-33.497223311937276</v>
      </c>
      <c r="J12" s="11">
        <v>-33.5220613985379</v>
      </c>
      <c r="K12" s="11">
        <v>-33.581778951685813</v>
      </c>
      <c r="L12" s="11">
        <v>-32.867919237665774</v>
      </c>
      <c r="M12" s="11">
        <v>-33.061947546417926</v>
      </c>
      <c r="N12" s="11"/>
      <c r="O12" s="11">
        <v>-33.154116283236995</v>
      </c>
      <c r="P12" s="11">
        <v>-36.103669581648504</v>
      </c>
      <c r="Q12" s="11">
        <v>-32.590461824164166</v>
      </c>
      <c r="R12" s="11"/>
      <c r="S12" s="11">
        <v>-32.894704613757881</v>
      </c>
      <c r="T12" s="11">
        <v>-32.607939767123199</v>
      </c>
      <c r="U12" s="11">
        <v>-33.090553223822674</v>
      </c>
      <c r="V12" s="11">
        <v>-32.831529593890778</v>
      </c>
      <c r="W12" s="11">
        <v>-32.04796200057109</v>
      </c>
      <c r="X12" s="11">
        <v>-31.775916223565133</v>
      </c>
      <c r="Y12" s="11"/>
      <c r="Z12" s="11">
        <v>-31.686540650681739</v>
      </c>
      <c r="AA12" s="11">
        <v>-31.719064572618009</v>
      </c>
      <c r="AB12" s="11">
        <v>-32.680866533268158</v>
      </c>
    </row>
    <row r="13" spans="1:28" x14ac:dyDescent="0.3">
      <c r="A13" s="12" t="s">
        <v>89</v>
      </c>
      <c r="B13" s="11">
        <v>-32.497071466565941</v>
      </c>
      <c r="C13" s="11"/>
      <c r="D13" s="11"/>
      <c r="E13" s="11"/>
      <c r="F13" s="11"/>
      <c r="G13" s="11"/>
      <c r="H13" s="11">
        <v>-32.780070842612943</v>
      </c>
      <c r="I13" s="11"/>
      <c r="J13" s="11"/>
      <c r="K13" s="11"/>
      <c r="L13" s="11">
        <v>-35.936086175042497</v>
      </c>
      <c r="M13" s="11"/>
      <c r="N13" s="11"/>
      <c r="O13" s="11">
        <v>-36.731337530192889</v>
      </c>
      <c r="P13" s="11"/>
      <c r="Q13" s="11">
        <v>-33.198652107756025</v>
      </c>
      <c r="R13" s="11"/>
      <c r="S13" s="11">
        <v>-34.907915832957357</v>
      </c>
      <c r="T13" s="11">
        <v>-34.298823125347774</v>
      </c>
      <c r="U13" s="11">
        <v>-35.971045930566049</v>
      </c>
      <c r="V13" s="11">
        <v>-36.095063897289094</v>
      </c>
      <c r="W13" s="11">
        <v>-33.452431749065283</v>
      </c>
      <c r="X13" s="11">
        <v>-33.729569124828615</v>
      </c>
      <c r="Y13" s="11"/>
      <c r="Z13" s="11">
        <v>-33.390436727320626</v>
      </c>
      <c r="AA13" s="11"/>
      <c r="AB13" s="11"/>
    </row>
    <row r="14" spans="1:28" x14ac:dyDescent="0.3">
      <c r="A14" s="12" t="s">
        <v>90</v>
      </c>
      <c r="B14" s="11">
        <v>-34.390846212321101</v>
      </c>
      <c r="C14" s="11"/>
      <c r="D14" s="11"/>
      <c r="E14" s="11">
        <v>-34.390425893891972</v>
      </c>
      <c r="F14" s="11"/>
      <c r="G14" s="11"/>
      <c r="H14" s="11">
        <v>-33.673026915285249</v>
      </c>
      <c r="I14" s="11">
        <v>-34.545938168267156</v>
      </c>
      <c r="J14" s="11">
        <v>-33.985153092577136</v>
      </c>
      <c r="K14" s="11">
        <v>-34.292278013853206</v>
      </c>
      <c r="L14" s="11">
        <v>-33.737794865633091</v>
      </c>
      <c r="M14" s="11">
        <v>-34.846213701367319</v>
      </c>
      <c r="N14" s="11"/>
      <c r="O14" s="11">
        <v>-34.667459665936903</v>
      </c>
      <c r="P14" s="11">
        <v>-38.856613577929437</v>
      </c>
      <c r="Q14" s="11">
        <v>-33.975273528370693</v>
      </c>
      <c r="R14" s="11"/>
      <c r="S14" s="11">
        <v>-34.495094552208933</v>
      </c>
      <c r="T14" s="11">
        <v>-34.79715649655229</v>
      </c>
      <c r="U14" s="11">
        <v>-34.603446776641803</v>
      </c>
      <c r="V14" s="11">
        <v>-34.631536420342137</v>
      </c>
      <c r="W14" s="11">
        <v>-33.726009413626485</v>
      </c>
      <c r="X14" s="11">
        <v>-32.875739110267233</v>
      </c>
      <c r="Y14" s="11"/>
      <c r="Z14" s="11">
        <v>-32.724417413504668</v>
      </c>
      <c r="AA14" s="11"/>
      <c r="AB14" s="11">
        <v>-33.917859078776971</v>
      </c>
    </row>
  </sheetData>
  <conditionalFormatting sqref="A1">
    <cfRule type="duplicateValues" dxfId="0" priority="1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D931-B7C0-45AC-B1E1-409E6EC3D851}">
  <dimension ref="A1:B17"/>
  <sheetViews>
    <sheetView workbookViewId="0"/>
  </sheetViews>
  <sheetFormatPr baseColWidth="10" defaultRowHeight="14.4" x14ac:dyDescent="0.3"/>
  <sheetData>
    <row r="1" spans="1:1" x14ac:dyDescent="0.3">
      <c r="A1" s="13" t="s">
        <v>92</v>
      </c>
    </row>
    <row r="4" spans="1:1" x14ac:dyDescent="0.3">
      <c r="A4" t="s">
        <v>93</v>
      </c>
    </row>
    <row r="8" spans="1:1" x14ac:dyDescent="0.3">
      <c r="A8" s="13" t="s">
        <v>94</v>
      </c>
    </row>
    <row r="17" spans="2:2" x14ac:dyDescent="0.3">
      <c r="B17" t="s">
        <v>95</v>
      </c>
    </row>
  </sheetData>
  <hyperlinks>
    <hyperlink ref="A1" r:id="rId1" xr:uid="{38E8C7AF-D3F2-46DE-95A2-EE39A800BE0B}"/>
    <hyperlink ref="A8" r:id="rId2" xr:uid="{B8C5C2EC-EC66-4E27-9CA4-06A89DEEAAB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0D55-C7BA-4794-837F-3165EEFA029C}">
  <dimension ref="A1:X22"/>
  <sheetViews>
    <sheetView workbookViewId="0">
      <selection activeCell="H12" sqref="H12"/>
    </sheetView>
  </sheetViews>
  <sheetFormatPr baseColWidth="10" defaultRowHeight="14.4" x14ac:dyDescent="0.3"/>
  <sheetData>
    <row r="1" spans="1:24" x14ac:dyDescent="0.3">
      <c r="A1" s="6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9" t="s">
        <v>58</v>
      </c>
      <c r="N1" s="9" t="s">
        <v>59</v>
      </c>
      <c r="O1" s="9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9" t="s">
        <v>65</v>
      </c>
      <c r="U1" s="9" t="s">
        <v>66</v>
      </c>
      <c r="V1" s="9" t="s">
        <v>67</v>
      </c>
      <c r="W1" s="9" t="s">
        <v>68</v>
      </c>
      <c r="X1" s="9" t="s">
        <v>69</v>
      </c>
    </row>
    <row r="2" spans="1:24" x14ac:dyDescent="0.3">
      <c r="A2">
        <v>5069</v>
      </c>
      <c r="B2">
        <v>0</v>
      </c>
      <c r="C2">
        <v>9.0707964601769928E-3</v>
      </c>
      <c r="D2">
        <v>1.4657079646017701E-2</v>
      </c>
      <c r="E2">
        <v>1.9579646017699119E-2</v>
      </c>
      <c r="F2">
        <v>7.4391592920353994E-2</v>
      </c>
      <c r="G2">
        <v>3.4789823008849564E-2</v>
      </c>
      <c r="H2">
        <v>0.16742256637168143</v>
      </c>
      <c r="I2">
        <v>0.30901548672566376</v>
      </c>
      <c r="J2">
        <v>0.53053097345132749</v>
      </c>
      <c r="K2">
        <v>0.38921460176991157</v>
      </c>
      <c r="L2">
        <v>0.30945796460177</v>
      </c>
      <c r="M2">
        <v>0.26194690265486725</v>
      </c>
      <c r="N2">
        <v>0.27151548672566378</v>
      </c>
      <c r="O2">
        <v>1.4435840707964604E-2</v>
      </c>
      <c r="P2">
        <v>0.36803097345132751</v>
      </c>
      <c r="Q2">
        <v>6.1338495575221245E-2</v>
      </c>
      <c r="R2">
        <v>0.38976769911504433</v>
      </c>
      <c r="S2">
        <v>3.3683628318584076E-2</v>
      </c>
      <c r="T2">
        <v>0.18639380530973457</v>
      </c>
      <c r="U2">
        <v>8.7942477876106224E-3</v>
      </c>
      <c r="V2">
        <v>8.573008849557525E-3</v>
      </c>
      <c r="W2">
        <v>0</v>
      </c>
      <c r="X2">
        <v>0</v>
      </c>
    </row>
    <row r="3" spans="1:24" x14ac:dyDescent="0.3">
      <c r="A3">
        <v>5068</v>
      </c>
      <c r="B3">
        <v>0</v>
      </c>
      <c r="C3">
        <v>3.3738938053097349E-3</v>
      </c>
      <c r="D3">
        <v>6.1946902654867273E-3</v>
      </c>
      <c r="E3">
        <v>1.9247787610619474E-2</v>
      </c>
      <c r="F3">
        <v>5.1493362831858416E-2</v>
      </c>
      <c r="G3">
        <v>3.584070796460178E-2</v>
      </c>
      <c r="H3">
        <v>0.10807522123893806</v>
      </c>
      <c r="I3">
        <v>0.18357300884955755</v>
      </c>
      <c r="J3">
        <v>0.17477876106194692</v>
      </c>
      <c r="K3">
        <v>8.3130530973451341E-2</v>
      </c>
      <c r="L3">
        <v>3.1637168141592918E-2</v>
      </c>
      <c r="M3">
        <v>1.4712389380530976E-2</v>
      </c>
      <c r="N3">
        <v>1.8252212389380535E-2</v>
      </c>
      <c r="O3">
        <v>8.2964601769911514E-4</v>
      </c>
      <c r="P3">
        <v>3.1858407079646017E-2</v>
      </c>
      <c r="Q3">
        <v>3.1526548672566371E-3</v>
      </c>
      <c r="R3">
        <v>4.0154867256637174E-2</v>
      </c>
      <c r="S3">
        <v>1.9358407079646017E-3</v>
      </c>
      <c r="T3">
        <v>1.8805309734513276E-2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5067</v>
      </c>
      <c r="B4">
        <v>1.8691588785046728E-3</v>
      </c>
      <c r="C4">
        <v>1.1682242990654207E-3</v>
      </c>
      <c r="D4">
        <v>3.1542056074766356E-3</v>
      </c>
      <c r="E4">
        <v>8.8200934579439269E-3</v>
      </c>
      <c r="F4">
        <v>3.7324766355140183E-2</v>
      </c>
      <c r="G4">
        <v>2.2371495327102801E-2</v>
      </c>
      <c r="H4">
        <v>8.5514018691588797E-2</v>
      </c>
      <c r="I4">
        <v>0.17009345794392525</v>
      </c>
      <c r="J4">
        <v>0.16185747663551403</v>
      </c>
      <c r="K4">
        <v>8.3002336448598141E-2</v>
      </c>
      <c r="L4">
        <v>3.5455607476635516E-2</v>
      </c>
      <c r="M4">
        <v>2.3189252336448599E-2</v>
      </c>
      <c r="N4">
        <v>2.552570093457944E-2</v>
      </c>
      <c r="O4">
        <v>1.6939252336448595E-3</v>
      </c>
      <c r="P4">
        <v>3.6098130841121491E-2</v>
      </c>
      <c r="Q4">
        <v>8.2359813084112131E-3</v>
      </c>
      <c r="R4">
        <v>3.6098130841121491E-2</v>
      </c>
      <c r="S4">
        <v>4.9065420560747662E-3</v>
      </c>
      <c r="T4">
        <v>1.6939252336448597E-2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5066</v>
      </c>
      <c r="B5">
        <v>1.6471838469713071E-3</v>
      </c>
      <c r="C5">
        <v>0</v>
      </c>
      <c r="D5">
        <v>1.6471838469713071E-3</v>
      </c>
      <c r="E5">
        <v>4.1976620616365574E-3</v>
      </c>
      <c r="F5">
        <v>2.6726886291179596E-2</v>
      </c>
      <c r="G5">
        <v>4.8884165781083958E-3</v>
      </c>
      <c r="H5">
        <v>2.9596174282678005E-2</v>
      </c>
      <c r="I5">
        <v>8.1402763018065885E-2</v>
      </c>
      <c r="J5">
        <v>0.25239107332624866</v>
      </c>
      <c r="K5">
        <v>0.49516471838469717</v>
      </c>
      <c r="L5">
        <v>0.713230605738576</v>
      </c>
      <c r="M5">
        <v>1.1075451647183847</v>
      </c>
      <c r="N5">
        <v>1.1114240170031882</v>
      </c>
      <c r="O5">
        <v>0.11062699256110523</v>
      </c>
      <c r="P5">
        <v>0.92550478214665266</v>
      </c>
      <c r="Q5">
        <v>0.69107332624867168</v>
      </c>
      <c r="R5">
        <v>0.57332624867162596</v>
      </c>
      <c r="S5">
        <v>0.39027630180658879</v>
      </c>
      <c r="T5">
        <v>0.26370882040382576</v>
      </c>
      <c r="U5">
        <v>0.12938363443145592</v>
      </c>
      <c r="V5">
        <v>8.2465462274176407E-2</v>
      </c>
      <c r="W5">
        <v>3.815090329436769E-2</v>
      </c>
      <c r="X5">
        <v>2.0563230605738576E-2</v>
      </c>
    </row>
    <row r="6" spans="1:24" x14ac:dyDescent="0.3">
      <c r="A6">
        <v>5065</v>
      </c>
      <c r="B6">
        <v>2.005174644243208E-3</v>
      </c>
      <c r="C6">
        <v>1.7464424320827944E-3</v>
      </c>
      <c r="D6">
        <v>5.2393272962483837E-3</v>
      </c>
      <c r="E6">
        <v>1.3648124191461835E-2</v>
      </c>
      <c r="F6">
        <v>3.9003880983182408E-2</v>
      </c>
      <c r="G6">
        <v>3.0012936610608016E-2</v>
      </c>
      <c r="H6">
        <v>0.10265200517464423</v>
      </c>
      <c r="I6">
        <v>0.17639068564036223</v>
      </c>
      <c r="J6">
        <v>0.19379042690815007</v>
      </c>
      <c r="K6">
        <v>9.5084087968952125E-2</v>
      </c>
      <c r="L6">
        <v>6.4424320827943082E-2</v>
      </c>
      <c r="M6">
        <v>3.4023285899094438E-2</v>
      </c>
      <c r="N6">
        <v>4.8059508408796893E-2</v>
      </c>
      <c r="O6">
        <v>2.1992238033635187E-3</v>
      </c>
      <c r="P6">
        <v>6.4747736093143604E-2</v>
      </c>
      <c r="Q6">
        <v>8.2794307891332474E-3</v>
      </c>
      <c r="R6">
        <v>5.8926261319534282E-2</v>
      </c>
      <c r="S6">
        <v>3.6222509702457961E-3</v>
      </c>
      <c r="T6">
        <v>2.7878395860284604E-2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5064</v>
      </c>
      <c r="B7">
        <v>0</v>
      </c>
      <c r="C7">
        <v>9.0012330456226888E-3</v>
      </c>
      <c r="D7">
        <v>1.4180024660912454E-2</v>
      </c>
      <c r="E7">
        <v>2.3674475955610359E-2</v>
      </c>
      <c r="F7">
        <v>5.8261405672009867E-2</v>
      </c>
      <c r="G7">
        <v>3.3292231812577067E-2</v>
      </c>
      <c r="H7">
        <v>0.13039457459926015</v>
      </c>
      <c r="I7">
        <v>0.24346485819975341</v>
      </c>
      <c r="J7">
        <v>0.30881627620221952</v>
      </c>
      <c r="K7">
        <v>0.17546239210850803</v>
      </c>
      <c r="L7">
        <v>8.9889025893958099E-2</v>
      </c>
      <c r="M7">
        <v>5.3020961775585698E-2</v>
      </c>
      <c r="N7">
        <v>6.1467324290998777E-2</v>
      </c>
      <c r="O7">
        <v>2.4414303329223185E-2</v>
      </c>
      <c r="P7">
        <v>7.2379778051787927E-2</v>
      </c>
      <c r="Q7">
        <v>9.0012330456226888E-3</v>
      </c>
      <c r="R7">
        <v>8.1134401972872999E-2</v>
      </c>
      <c r="S7">
        <v>6.5967940813810126E-3</v>
      </c>
      <c r="T7">
        <v>4.2046855733662153E-2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5063</v>
      </c>
      <c r="B8">
        <v>2.8571428571428576E-3</v>
      </c>
      <c r="C8">
        <v>1.1285714285714288E-2</v>
      </c>
      <c r="D8">
        <v>2.7642857142857143E-2</v>
      </c>
      <c r="E8">
        <v>2.9142857142857144E-2</v>
      </c>
      <c r="F8">
        <v>0.11050000000000001</v>
      </c>
      <c r="G8">
        <v>4.0857142857142856E-2</v>
      </c>
      <c r="H8">
        <v>0.21121428571428574</v>
      </c>
      <c r="I8">
        <v>0.26614285714285713</v>
      </c>
      <c r="J8">
        <v>0.44350000000000006</v>
      </c>
      <c r="K8">
        <v>0.21228571428571427</v>
      </c>
      <c r="L8">
        <v>0.18435714285714286</v>
      </c>
      <c r="M8">
        <v>0.11114285714285714</v>
      </c>
      <c r="N8">
        <v>0.25135714285714289</v>
      </c>
      <c r="O8">
        <v>8.6428571428571431E-3</v>
      </c>
      <c r="P8">
        <v>0.38914285714285718</v>
      </c>
      <c r="Q8">
        <v>5.507142857142857E-2</v>
      </c>
      <c r="R8">
        <v>0.44850000000000001</v>
      </c>
      <c r="S8">
        <v>3.785714285714286E-2</v>
      </c>
      <c r="T8">
        <v>0.24385714285714286</v>
      </c>
      <c r="U8">
        <v>1.2642857142857145E-2</v>
      </c>
      <c r="V8">
        <v>1.2071428571428571E-2</v>
      </c>
      <c r="W8">
        <v>0.05</v>
      </c>
      <c r="X8">
        <v>0</v>
      </c>
    </row>
    <row r="9" spans="1:24" x14ac:dyDescent="0.3">
      <c r="A9">
        <v>5062</v>
      </c>
      <c r="B9">
        <v>3.1767955801104975E-3</v>
      </c>
      <c r="C9">
        <v>1.5055248618784533E-2</v>
      </c>
      <c r="D9">
        <v>2.5552486187845308E-2</v>
      </c>
      <c r="E9">
        <v>2.1685082872928179E-2</v>
      </c>
      <c r="F9">
        <v>7.5552486187845311E-2</v>
      </c>
      <c r="G9">
        <v>3.2320441988950274E-2</v>
      </c>
      <c r="H9">
        <v>0.12320441988950276</v>
      </c>
      <c r="I9">
        <v>0.15573204419889505</v>
      </c>
      <c r="J9">
        <v>0.16712707182320441</v>
      </c>
      <c r="K9">
        <v>7.0441988950276244E-2</v>
      </c>
      <c r="L9">
        <v>6.4157458563535899E-2</v>
      </c>
      <c r="M9">
        <v>3.8397790055248612E-2</v>
      </c>
      <c r="N9">
        <v>0.14751381215469614</v>
      </c>
      <c r="O9">
        <v>4.005524861878453E-3</v>
      </c>
      <c r="P9">
        <v>0.19205801104972375</v>
      </c>
      <c r="Q9">
        <v>1.5400552486187845E-2</v>
      </c>
      <c r="R9">
        <v>0.15048342541436463</v>
      </c>
      <c r="S9">
        <v>1.084254143646409E-2</v>
      </c>
      <c r="T9">
        <v>6.8024861878453038E-2</v>
      </c>
      <c r="U9">
        <v>2.6243093922651939E-3</v>
      </c>
      <c r="V9">
        <v>4.8342541436464078E-3</v>
      </c>
      <c r="W9">
        <v>0</v>
      </c>
      <c r="X9">
        <v>0</v>
      </c>
    </row>
    <row r="10" spans="1:24" x14ac:dyDescent="0.3">
      <c r="A10">
        <v>5061</v>
      </c>
      <c r="B10">
        <v>3.3288948069241015E-3</v>
      </c>
      <c r="C10">
        <v>1.3182423435419442E-2</v>
      </c>
      <c r="D10">
        <v>1.7909454061251665E-2</v>
      </c>
      <c r="E10">
        <v>2.4766977363515318E-2</v>
      </c>
      <c r="F10">
        <v>6.8974700399467376E-2</v>
      </c>
      <c r="G10">
        <v>2.8229027962716383E-2</v>
      </c>
      <c r="H10">
        <v>9.766977363515314E-2</v>
      </c>
      <c r="I10">
        <v>9.234354194407457E-2</v>
      </c>
      <c r="J10">
        <v>0.11284953395472704</v>
      </c>
      <c r="K10">
        <v>3.5552596537949406E-2</v>
      </c>
      <c r="L10">
        <v>3.7616511318242347E-2</v>
      </c>
      <c r="M10">
        <v>1.6977363515312916E-2</v>
      </c>
      <c r="N10">
        <v>6.271637816245007E-2</v>
      </c>
      <c r="O10">
        <v>1.9307589880159786E-3</v>
      </c>
      <c r="P10">
        <v>9.766977363515314E-2</v>
      </c>
      <c r="Q10">
        <v>8.1890812250332897E-3</v>
      </c>
      <c r="R10">
        <v>0.11118508655126498</v>
      </c>
      <c r="S10">
        <v>7.1904127829560596E-3</v>
      </c>
      <c r="T10">
        <v>5.8788282290279631E-2</v>
      </c>
      <c r="U10">
        <v>3.4620505992010654E-3</v>
      </c>
      <c r="V10">
        <v>3.2623169107856196E-3</v>
      </c>
      <c r="W10">
        <v>0</v>
      </c>
      <c r="X10">
        <v>0</v>
      </c>
    </row>
    <row r="11" spans="1:24" x14ac:dyDescent="0.3">
      <c r="A11">
        <v>5060</v>
      </c>
      <c r="B11">
        <v>2.5984251968503942E-3</v>
      </c>
      <c r="C11">
        <v>2.2440944881889767E-2</v>
      </c>
      <c r="D11">
        <v>2.7795275590551182E-2</v>
      </c>
      <c r="E11">
        <v>3.7874015748031495E-2</v>
      </c>
      <c r="F11">
        <v>0.13330708661417323</v>
      </c>
      <c r="G11">
        <v>6.1968503937007882E-2</v>
      </c>
      <c r="H11">
        <v>0.28031496062992134</v>
      </c>
      <c r="I11">
        <v>0.25291338582677164</v>
      </c>
      <c r="J11">
        <v>0.40543307086614183</v>
      </c>
      <c r="K11">
        <v>0.13700787401574804</v>
      </c>
      <c r="L11">
        <v>0.21629921259842519</v>
      </c>
      <c r="M11">
        <v>9.700787401574805E-2</v>
      </c>
      <c r="N11">
        <v>0.61503937007874021</v>
      </c>
      <c r="O11">
        <v>1.1417322834645669E-2</v>
      </c>
      <c r="P11">
        <v>0.68645669291338596</v>
      </c>
      <c r="Q11">
        <v>4.5669291338582677E-2</v>
      </c>
      <c r="R11">
        <v>0.41551181102362217</v>
      </c>
      <c r="S11">
        <v>2.3622047244094491E-2</v>
      </c>
      <c r="T11">
        <v>0.18204724409448822</v>
      </c>
      <c r="U11">
        <v>5.8267716535433068E-3</v>
      </c>
      <c r="V11">
        <v>1.1102362204724409E-2</v>
      </c>
      <c r="W11">
        <v>8.2677165354330725E-3</v>
      </c>
      <c r="X11">
        <v>0</v>
      </c>
    </row>
    <row r="12" spans="1:24" x14ac:dyDescent="0.3">
      <c r="A12">
        <v>5059</v>
      </c>
      <c r="B12">
        <v>1.9565217391304349E-3</v>
      </c>
      <c r="C12">
        <v>0</v>
      </c>
      <c r="D12">
        <v>0</v>
      </c>
      <c r="E12">
        <v>2.1739130434782605E-3</v>
      </c>
      <c r="F12">
        <v>4.9999999999999992E-3</v>
      </c>
      <c r="G12">
        <v>5.3623188405797096E-3</v>
      </c>
      <c r="H12">
        <v>1.5362318840579712E-2</v>
      </c>
      <c r="I12">
        <v>2.0362318840579711E-2</v>
      </c>
      <c r="J12">
        <v>1.8913043478260869E-2</v>
      </c>
      <c r="K12">
        <v>1.0144927536231883E-2</v>
      </c>
      <c r="L12">
        <v>1.2028985507246378E-2</v>
      </c>
      <c r="M12">
        <v>8.5507246376811587E-3</v>
      </c>
      <c r="N12">
        <v>3.2536231884057971E-2</v>
      </c>
      <c r="O12">
        <v>9.4202898550724637E-4</v>
      </c>
      <c r="P12">
        <v>3.9347826086956521E-2</v>
      </c>
      <c r="Q12">
        <v>4.1304347826086954E-3</v>
      </c>
      <c r="R12">
        <v>2.9855072463768118E-2</v>
      </c>
      <c r="S12">
        <v>0</v>
      </c>
      <c r="T12">
        <v>8.8405797101449267E-3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5058</v>
      </c>
      <c r="B13">
        <v>3.3783783783783786E-3</v>
      </c>
      <c r="C13">
        <v>8.0330330330330331E-3</v>
      </c>
      <c r="D13">
        <v>1.1786786786786789E-2</v>
      </c>
      <c r="E13">
        <v>1.3738738738738741E-2</v>
      </c>
      <c r="F13">
        <v>4.6096096096096092E-2</v>
      </c>
      <c r="G13">
        <v>4.6396396396396394E-2</v>
      </c>
      <c r="H13">
        <v>0.14399399399399401</v>
      </c>
      <c r="I13">
        <v>0.17447447447447445</v>
      </c>
      <c r="J13">
        <v>0.20855855855855859</v>
      </c>
      <c r="K13">
        <v>0.15983483483483482</v>
      </c>
      <c r="L13">
        <v>0.26126126126126126</v>
      </c>
      <c r="M13">
        <v>0.23040540540540544</v>
      </c>
      <c r="N13">
        <v>0.77042042042042047</v>
      </c>
      <c r="O13">
        <v>2.5900900900900903E-2</v>
      </c>
      <c r="P13">
        <v>0.8138138138138139</v>
      </c>
      <c r="Q13">
        <v>0.12530030030030032</v>
      </c>
      <c r="R13">
        <v>0.52432432432432441</v>
      </c>
      <c r="S13">
        <v>5.6981981981981983E-2</v>
      </c>
      <c r="T13">
        <v>1.6516516516516519E-2</v>
      </c>
      <c r="U13">
        <v>1.666666666666667E-2</v>
      </c>
      <c r="V13">
        <v>1.3513513513513514E-2</v>
      </c>
      <c r="W13">
        <v>0</v>
      </c>
      <c r="X13">
        <v>0</v>
      </c>
    </row>
    <row r="14" spans="1:24" x14ac:dyDescent="0.3">
      <c r="A14">
        <v>5057</v>
      </c>
      <c r="B14">
        <v>2.0725388601036268E-3</v>
      </c>
      <c r="C14">
        <v>7.8367875647668388E-3</v>
      </c>
      <c r="D14">
        <v>2.19559585492228E-2</v>
      </c>
      <c r="E14">
        <v>2.7007772020725393E-2</v>
      </c>
      <c r="F14">
        <v>0.10349740932642489</v>
      </c>
      <c r="G14">
        <v>8.2059585492227985E-2</v>
      </c>
      <c r="H14">
        <v>0.25939119170984454</v>
      </c>
      <c r="I14">
        <v>0.290479274611399</v>
      </c>
      <c r="J14">
        <v>0.35453367875647673</v>
      </c>
      <c r="K14">
        <v>0.22383419689119174</v>
      </c>
      <c r="L14">
        <v>0.45161917098445603</v>
      </c>
      <c r="M14">
        <v>0.29488341968911919</v>
      </c>
      <c r="N14">
        <v>1.3954663212435237</v>
      </c>
      <c r="O14">
        <v>3.4326424870466325E-2</v>
      </c>
      <c r="P14">
        <v>1.4559585492227982</v>
      </c>
      <c r="Q14">
        <v>0.13173575129533679</v>
      </c>
      <c r="R14">
        <v>0.87707253886010361</v>
      </c>
      <c r="S14">
        <v>5.9520725388601044E-2</v>
      </c>
      <c r="T14">
        <v>0.22370466321243526</v>
      </c>
      <c r="U14">
        <v>1.3665803108808289E-2</v>
      </c>
      <c r="V14">
        <v>1.7357512953367876E-2</v>
      </c>
      <c r="W14">
        <v>0</v>
      </c>
      <c r="X14">
        <v>0</v>
      </c>
    </row>
    <row r="15" spans="1:24" x14ac:dyDescent="0.3">
      <c r="A15">
        <v>5056</v>
      </c>
      <c r="B15">
        <v>2.2849462365591398E-3</v>
      </c>
      <c r="C15">
        <v>0</v>
      </c>
      <c r="D15">
        <v>7.1236559139784949E-3</v>
      </c>
      <c r="E15">
        <v>1.65994623655914E-2</v>
      </c>
      <c r="F15">
        <v>2.0698924731182799E-2</v>
      </c>
      <c r="G15">
        <v>2.0497311827956988E-2</v>
      </c>
      <c r="H15">
        <v>1.5860215053763439E-2</v>
      </c>
      <c r="I15">
        <v>1.4650537634408604E-2</v>
      </c>
      <c r="J15">
        <v>1.6465053763440859E-2</v>
      </c>
      <c r="K15">
        <v>1.5322580645161288E-2</v>
      </c>
      <c r="L15">
        <v>2.4731182795698928E-2</v>
      </c>
      <c r="M15">
        <v>2.5268817204301075E-2</v>
      </c>
      <c r="N15">
        <v>5.5577956989247307E-2</v>
      </c>
      <c r="O15">
        <v>2.6881720430107529E-3</v>
      </c>
      <c r="P15">
        <v>6.7876344086021501E-2</v>
      </c>
      <c r="Q15">
        <v>1.4852150537634407E-2</v>
      </c>
      <c r="R15">
        <v>5.1008064516129027E-2</v>
      </c>
      <c r="S15">
        <v>8.4005376344086016E-3</v>
      </c>
      <c r="T15">
        <v>1.7271505376344084E-2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5055</v>
      </c>
      <c r="B16">
        <v>2.7285129604365625E-3</v>
      </c>
      <c r="C16">
        <v>1.4597544338335608E-2</v>
      </c>
      <c r="D16">
        <v>3.3083219645293316E-2</v>
      </c>
      <c r="E16">
        <v>4.0586630286493869E-2</v>
      </c>
      <c r="F16">
        <v>0.14781718963165077</v>
      </c>
      <c r="G16">
        <v>8.6562073669849943E-2</v>
      </c>
      <c r="H16">
        <v>0.31418826739427019</v>
      </c>
      <c r="I16">
        <v>0.4319236016371078</v>
      </c>
      <c r="J16">
        <v>0.55729877216916779</v>
      </c>
      <c r="K16">
        <v>0.31391541609822649</v>
      </c>
      <c r="L16">
        <v>0.51214188267394267</v>
      </c>
      <c r="M16">
        <v>0.31487039563437924</v>
      </c>
      <c r="N16">
        <v>1.5343792633015008</v>
      </c>
      <c r="O16">
        <v>3.6562073669849933E-2</v>
      </c>
      <c r="P16">
        <v>1.6871077762619375</v>
      </c>
      <c r="Q16">
        <v>0.14904502046384721</v>
      </c>
      <c r="R16">
        <v>1.0274215552523875</v>
      </c>
      <c r="S16">
        <v>7.52387448840382E-2</v>
      </c>
      <c r="T16">
        <v>0.32053206002728518</v>
      </c>
      <c r="U16">
        <v>2.2305593451568895E-2</v>
      </c>
      <c r="V16">
        <v>2.8240109140518416E-2</v>
      </c>
      <c r="W16">
        <v>3.956343792633015E-3</v>
      </c>
      <c r="X16">
        <v>0</v>
      </c>
    </row>
    <row r="17" spans="1:24" x14ac:dyDescent="0.3">
      <c r="A17">
        <v>5054</v>
      </c>
      <c r="B17">
        <v>2.6530612244897965E-3</v>
      </c>
      <c r="C17">
        <v>7.6870748299319724E-3</v>
      </c>
      <c r="D17">
        <v>2.3333333333333338E-2</v>
      </c>
      <c r="E17">
        <v>3.1360544217687081E-2</v>
      </c>
      <c r="F17">
        <v>9.8435374149659874E-2</v>
      </c>
      <c r="G17">
        <v>4.7891156462585044E-2</v>
      </c>
      <c r="H17">
        <v>0.13959183673469389</v>
      </c>
      <c r="I17">
        <v>0.17081632653061227</v>
      </c>
      <c r="J17">
        <v>0.27115646258503406</v>
      </c>
      <c r="K17">
        <v>0.16571428571428573</v>
      </c>
      <c r="L17">
        <v>0.33108843537414973</v>
      </c>
      <c r="M17">
        <v>0.20027210884353744</v>
      </c>
      <c r="N17">
        <v>1.0865986394557823</v>
      </c>
      <c r="O17">
        <v>2.2244897959183677E-2</v>
      </c>
      <c r="P17">
        <v>1.1134693877551023</v>
      </c>
      <c r="Q17">
        <v>8.2585034013605466E-2</v>
      </c>
      <c r="R17">
        <v>0.57380952380952388</v>
      </c>
      <c r="S17">
        <v>4.6258503401360548E-2</v>
      </c>
      <c r="T17">
        <v>0.17789115646258505</v>
      </c>
      <c r="U17">
        <v>1.938775510204082E-2</v>
      </c>
      <c r="V17">
        <v>2.0476190476190478E-2</v>
      </c>
      <c r="W17">
        <v>0</v>
      </c>
      <c r="X17">
        <v>0</v>
      </c>
    </row>
    <row r="18" spans="1:24" x14ac:dyDescent="0.3">
      <c r="A18">
        <v>5053</v>
      </c>
      <c r="B18">
        <v>3.2595325953259533E-3</v>
      </c>
      <c r="C18">
        <v>6.3960639606396065E-3</v>
      </c>
      <c r="D18">
        <v>2.023370233702337E-2</v>
      </c>
      <c r="E18">
        <v>2.2017220172201722E-2</v>
      </c>
      <c r="F18">
        <v>7.6506765067650667E-2</v>
      </c>
      <c r="G18">
        <v>4.6924969249692493E-2</v>
      </c>
      <c r="H18">
        <v>0.15350553505535056</v>
      </c>
      <c r="I18">
        <v>0.18708487084870848</v>
      </c>
      <c r="J18">
        <v>0.22177121771217712</v>
      </c>
      <c r="K18">
        <v>0.11113161131611315</v>
      </c>
      <c r="L18">
        <v>0.17964329643296434</v>
      </c>
      <c r="M18">
        <v>0.10319803198031981</v>
      </c>
      <c r="N18">
        <v>0.61857318573185727</v>
      </c>
      <c r="O18">
        <v>1.2177121771217712E-2</v>
      </c>
      <c r="P18">
        <v>0.64901599015990163</v>
      </c>
      <c r="Q18">
        <v>4.4649446494464937E-2</v>
      </c>
      <c r="R18">
        <v>0.32552275522755225</v>
      </c>
      <c r="S18">
        <v>2.4600246002460024E-2</v>
      </c>
      <c r="T18">
        <v>0.10110701107011071</v>
      </c>
      <c r="U18">
        <v>4.4280442804428034E-3</v>
      </c>
      <c r="V18">
        <v>9.7785977859778609E-3</v>
      </c>
      <c r="W18">
        <v>0</v>
      </c>
      <c r="X18">
        <v>0</v>
      </c>
    </row>
    <row r="19" spans="1:24" x14ac:dyDescent="0.3">
      <c r="A19">
        <v>5052</v>
      </c>
      <c r="B19">
        <v>2.4271844660194173E-3</v>
      </c>
      <c r="C19">
        <v>4.9237170596393891E-3</v>
      </c>
      <c r="D19">
        <v>1.4285714285714287E-2</v>
      </c>
      <c r="E19">
        <v>2.5381414701803055E-2</v>
      </c>
      <c r="F19">
        <v>6.2205270457697651E-2</v>
      </c>
      <c r="G19">
        <v>3.8418862690707357E-2</v>
      </c>
      <c r="H19">
        <v>0.11220527045769765</v>
      </c>
      <c r="I19">
        <v>0.12871012482662966</v>
      </c>
      <c r="J19">
        <v>0.14680998613037452</v>
      </c>
      <c r="K19">
        <v>7.0388349514563117E-2</v>
      </c>
      <c r="L19">
        <v>8.6477115117891828E-2</v>
      </c>
      <c r="M19">
        <v>5.6726768377253815E-2</v>
      </c>
      <c r="N19">
        <v>0.2647711511789182</v>
      </c>
      <c r="O19">
        <v>6.9348127600554789E-3</v>
      </c>
      <c r="P19">
        <v>0.3378640776699029</v>
      </c>
      <c r="Q19">
        <v>2.1914008321775317E-2</v>
      </c>
      <c r="R19">
        <v>0.18335644937586687</v>
      </c>
      <c r="S19">
        <v>1.3384188626907073E-2</v>
      </c>
      <c r="T19">
        <v>6.1581137309292655E-2</v>
      </c>
      <c r="U19">
        <v>1.2690707350901527E-2</v>
      </c>
      <c r="V19">
        <v>5.4785020804438292E-3</v>
      </c>
      <c r="W19">
        <v>0</v>
      </c>
      <c r="X19">
        <v>0</v>
      </c>
    </row>
    <row r="20" spans="1:24" x14ac:dyDescent="0.3">
      <c r="A20">
        <v>5051</v>
      </c>
      <c r="B20">
        <v>2.7656477438136829E-3</v>
      </c>
      <c r="C20">
        <v>1.2445414847161574E-2</v>
      </c>
      <c r="D20">
        <v>3.4133915574963612E-2</v>
      </c>
      <c r="E20">
        <v>3.7845705967976713E-3</v>
      </c>
      <c r="F20">
        <v>0.10320232896652111</v>
      </c>
      <c r="G20">
        <v>8.486171761280932E-2</v>
      </c>
      <c r="H20">
        <v>0.24570596797671032</v>
      </c>
      <c r="I20">
        <v>0.32852983988355167</v>
      </c>
      <c r="J20">
        <v>0.31644832605531292</v>
      </c>
      <c r="K20">
        <v>0.15967976710334791</v>
      </c>
      <c r="L20">
        <v>0.16491994177583696</v>
      </c>
      <c r="M20">
        <v>9.6360989810771472E-2</v>
      </c>
      <c r="N20">
        <v>0.47518195050946149</v>
      </c>
      <c r="O20">
        <v>1.0116448326055311E-2</v>
      </c>
      <c r="P20">
        <v>0.53915574963609902</v>
      </c>
      <c r="Q20">
        <v>3.6026200873362446E-2</v>
      </c>
      <c r="R20">
        <v>0.27059679767103345</v>
      </c>
      <c r="S20">
        <v>1.6957787481804949E-2</v>
      </c>
      <c r="T20">
        <v>7.4235807860262015E-2</v>
      </c>
      <c r="U20">
        <v>3.129548762736536E-3</v>
      </c>
      <c r="V20">
        <v>6.9141193595342069E-3</v>
      </c>
      <c r="W20">
        <v>0</v>
      </c>
      <c r="X20">
        <v>0</v>
      </c>
    </row>
    <row r="21" spans="1:24" x14ac:dyDescent="0.3">
      <c r="A21">
        <v>5050</v>
      </c>
      <c r="B21">
        <v>0</v>
      </c>
      <c r="C21">
        <v>0</v>
      </c>
      <c r="D21">
        <v>8.7140439932318105E-3</v>
      </c>
      <c r="E21">
        <v>1.5228426395939084E-3</v>
      </c>
      <c r="F21">
        <v>6.7343485617597301E-2</v>
      </c>
      <c r="G21">
        <v>4.6615905245346874E-2</v>
      </c>
      <c r="H21">
        <v>0.19077834179357026</v>
      </c>
      <c r="I21">
        <v>0.34111675126903551</v>
      </c>
      <c r="J21">
        <v>0.37538071065989848</v>
      </c>
      <c r="K21">
        <v>0.19856175972927242</v>
      </c>
      <c r="L21">
        <v>0.21082910321489004</v>
      </c>
      <c r="M21">
        <v>0.10761421319796956</v>
      </c>
      <c r="N21">
        <v>0.63291032148900173</v>
      </c>
      <c r="O21">
        <v>1.0998307952622674E-2</v>
      </c>
      <c r="P21">
        <v>0.69137055837563455</v>
      </c>
      <c r="Q21">
        <v>3.7817258883248731E-2</v>
      </c>
      <c r="R21">
        <v>0.31793570219966161</v>
      </c>
      <c r="S21">
        <v>1.7174280879864636E-2</v>
      </c>
      <c r="T21">
        <v>8.0879864636209817E-2</v>
      </c>
      <c r="U21">
        <v>3.1302876480541453E-3</v>
      </c>
      <c r="V21">
        <v>8.6294416243654828E-3</v>
      </c>
      <c r="W21">
        <v>0</v>
      </c>
      <c r="X21">
        <v>0</v>
      </c>
    </row>
    <row r="22" spans="1:24" x14ac:dyDescent="0.3">
      <c r="A22">
        <v>5049</v>
      </c>
      <c r="B22">
        <v>0</v>
      </c>
      <c r="C22">
        <v>3.0187207488299533E-2</v>
      </c>
      <c r="D22">
        <v>4.0873634945397815E-2</v>
      </c>
      <c r="E22">
        <v>4.5241809672386894E-3</v>
      </c>
      <c r="F22">
        <v>0.13159126365054605</v>
      </c>
      <c r="G22">
        <v>6.4118564742589701E-2</v>
      </c>
      <c r="H22">
        <v>0.20358814352574106</v>
      </c>
      <c r="I22">
        <v>0.27277691107644303</v>
      </c>
      <c r="J22">
        <v>0.3580343213728549</v>
      </c>
      <c r="K22">
        <v>0.19282371294851794</v>
      </c>
      <c r="L22">
        <v>0.28174726989079563</v>
      </c>
      <c r="M22">
        <v>0.14867394695787831</v>
      </c>
      <c r="N22">
        <v>0.8349453978159127</v>
      </c>
      <c r="O22">
        <v>1.5990639625585022E-2</v>
      </c>
      <c r="P22">
        <v>0.82667706708268329</v>
      </c>
      <c r="Q22">
        <v>5.647425897035882E-2</v>
      </c>
      <c r="R22">
        <v>0.37308892355694229</v>
      </c>
      <c r="S22">
        <v>0.15031201248049922</v>
      </c>
      <c r="T22">
        <v>0.12152886115444618</v>
      </c>
      <c r="U22">
        <v>2.7223088923556946E-2</v>
      </c>
      <c r="V22">
        <v>1.622464898595944E-2</v>
      </c>
      <c r="W22">
        <v>0</v>
      </c>
      <c r="X2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D3A3-5274-4A86-AB1B-DFD81527B68D}">
  <dimension ref="A1:B2"/>
  <sheetViews>
    <sheetView workbookViewId="0">
      <selection activeCell="E10" sqref="E10"/>
    </sheetView>
  </sheetViews>
  <sheetFormatPr baseColWidth="10" defaultRowHeight="14.4" x14ac:dyDescent="0.3"/>
  <sheetData>
    <row r="1" spans="1:2" x14ac:dyDescent="0.3">
      <c r="A1">
        <v>1</v>
      </c>
      <c r="B1" t="s">
        <v>71</v>
      </c>
    </row>
    <row r="2" spans="1:2" x14ac:dyDescent="0.3">
      <c r="A2">
        <v>2</v>
      </c>
      <c r="B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Hoja1</vt:lpstr>
      <vt:lpstr>R</vt:lpstr>
      <vt:lpstr>dna</vt:lpstr>
      <vt:lpstr>dna_Table</vt:lpstr>
      <vt:lpstr>Hoja11</vt:lpstr>
      <vt:lpstr>Hoja8</vt:lpstr>
      <vt:lpstr>NGRIP</vt:lpstr>
      <vt:lpstr>Hoja7</vt:lpstr>
      <vt:lpstr>Hoja6</vt:lpstr>
      <vt:lpstr>Hoja5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Vidal Cordasco, Marco Adolfo</cp:lastModifiedBy>
  <dcterms:created xsi:type="dcterms:W3CDTF">2015-06-05T18:19:34Z</dcterms:created>
  <dcterms:modified xsi:type="dcterms:W3CDTF">2026-03-13T12:42:50Z</dcterms:modified>
</cp:coreProperties>
</file>